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idensmith/Desktop/PhB-Science (Honours)/Year 3/Winter/ASC/Data/"/>
    </mc:Choice>
  </mc:AlternateContent>
  <xr:revisionPtr revIDLastSave="0" documentId="13_ncr:1_{D2320DE9-127A-3F4A-B454-01AB9F1C9A0C}" xr6:coauthVersionLast="47" xr6:coauthVersionMax="47" xr10:uidLastSave="{00000000-0000-0000-0000-000000000000}"/>
  <bookViews>
    <workbookView xWindow="0" yWindow="660" windowWidth="29400" windowHeight="18460" activeTab="1" xr2:uid="{E7D91AF9-4E7B-B74C-8C3A-934BC1A8F541}"/>
  </bookViews>
  <sheets>
    <sheet name="Equilibrium Test" sheetId="1" r:id="rId1"/>
    <sheet name="Pilot" sheetId="2" r:id="rId2"/>
    <sheet name="Stressful Threshold" sheetId="3" r:id="rId3"/>
    <sheet name="Heat-Hardened Surviv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2" l="1"/>
  <c r="K18" i="2"/>
  <c r="K16" i="2"/>
  <c r="I17" i="2"/>
  <c r="I18" i="2"/>
  <c r="I16" i="2"/>
  <c r="G16" i="2"/>
  <c r="G17" i="2"/>
  <c r="G18" i="2"/>
  <c r="J17" i="2"/>
  <c r="J18" i="2"/>
  <c r="J16" i="2"/>
  <c r="E16" i="2"/>
  <c r="H17" i="2"/>
  <c r="H18" i="2"/>
  <c r="H16" i="2"/>
  <c r="S9" i="2"/>
  <c r="S10" i="2"/>
  <c r="S8" i="2"/>
  <c r="O9" i="2"/>
  <c r="O10" i="2"/>
  <c r="O8" i="2"/>
  <c r="F17" i="2"/>
  <c r="F18" i="2"/>
  <c r="F16" i="2"/>
  <c r="D16" i="2"/>
  <c r="D17" i="2"/>
  <c r="D18" i="2"/>
  <c r="B17" i="2"/>
  <c r="B18" i="2"/>
  <c r="B16" i="2"/>
  <c r="K9" i="2"/>
  <c r="K10" i="2"/>
  <c r="K8" i="2"/>
  <c r="G9" i="2"/>
  <c r="G10" i="2"/>
  <c r="G8" i="2"/>
  <c r="C9" i="2"/>
  <c r="C10" i="2"/>
  <c r="C8" i="2"/>
  <c r="E17" i="2"/>
  <c r="E18" i="2"/>
  <c r="C17" i="2"/>
  <c r="C18" i="2"/>
  <c r="C16" i="2"/>
  <c r="U9" i="2"/>
  <c r="U10" i="2"/>
  <c r="U8" i="2"/>
  <c r="Q9" i="2"/>
  <c r="Q10" i="2"/>
  <c r="Q8" i="2"/>
  <c r="M9" i="2"/>
  <c r="M10" i="2"/>
  <c r="M8" i="2"/>
  <c r="I10" i="2"/>
  <c r="I9" i="2"/>
  <c r="I8" i="2"/>
  <c r="E9" i="2"/>
  <c r="E10" i="2"/>
  <c r="E8" i="2"/>
  <c r="H6" i="1"/>
  <c r="I6" i="1"/>
  <c r="K6" i="1" s="1"/>
  <c r="J6" i="1"/>
  <c r="H7" i="1"/>
  <c r="I7" i="1"/>
  <c r="K7" i="1" s="1"/>
  <c r="J7" i="1"/>
  <c r="H8" i="1"/>
  <c r="I8" i="1"/>
  <c r="K8" i="1" s="1"/>
  <c r="J8" i="1"/>
  <c r="H9" i="1"/>
  <c r="I9" i="1"/>
  <c r="K9" i="1" s="1"/>
  <c r="J9" i="1"/>
  <c r="H10" i="1"/>
  <c r="I10" i="1"/>
  <c r="K10" i="1" s="1"/>
  <c r="J10" i="1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7" i="4"/>
  <c r="Q25" i="4"/>
  <c r="Q23" i="4"/>
  <c r="Q22" i="4"/>
  <c r="Q21" i="4"/>
  <c r="Q20" i="4"/>
  <c r="Q16" i="4"/>
  <c r="Q14" i="4"/>
  <c r="Q13" i="4"/>
  <c r="Q12" i="4"/>
  <c r="Q8" i="4"/>
  <c r="P24" i="4"/>
  <c r="P22" i="4"/>
  <c r="P21" i="4"/>
  <c r="P19" i="4"/>
  <c r="P16" i="4"/>
  <c r="P14" i="4"/>
  <c r="P11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7" i="4"/>
  <c r="R26" i="4"/>
  <c r="Q26" i="4"/>
  <c r="P26" i="4"/>
  <c r="O26" i="4"/>
  <c r="N26" i="4"/>
  <c r="R25" i="4"/>
  <c r="P25" i="4"/>
  <c r="O25" i="4"/>
  <c r="N25" i="4"/>
  <c r="R24" i="4"/>
  <c r="Q24" i="4"/>
  <c r="O24" i="4"/>
  <c r="N24" i="4"/>
  <c r="R23" i="4"/>
  <c r="P23" i="4"/>
  <c r="O23" i="4"/>
  <c r="N23" i="4"/>
  <c r="R22" i="4"/>
  <c r="O22" i="4"/>
  <c r="N22" i="4"/>
  <c r="R21" i="4"/>
  <c r="O21" i="4"/>
  <c r="N21" i="4"/>
  <c r="R20" i="4"/>
  <c r="P20" i="4"/>
  <c r="O20" i="4"/>
  <c r="N20" i="4"/>
  <c r="R19" i="4"/>
  <c r="Q19" i="4"/>
  <c r="O19" i="4"/>
  <c r="N19" i="4"/>
  <c r="R18" i="4"/>
  <c r="Q18" i="4"/>
  <c r="P18" i="4"/>
  <c r="O18" i="4"/>
  <c r="N18" i="4"/>
  <c r="R17" i="4"/>
  <c r="Q17" i="4"/>
  <c r="P17" i="4"/>
  <c r="O17" i="4"/>
  <c r="N17" i="4"/>
  <c r="R16" i="4"/>
  <c r="O16" i="4"/>
  <c r="N16" i="4"/>
  <c r="R15" i="4"/>
  <c r="Q15" i="4"/>
  <c r="P15" i="4"/>
  <c r="O15" i="4"/>
  <c r="N15" i="4"/>
  <c r="R14" i="4"/>
  <c r="O14" i="4"/>
  <c r="N14" i="4"/>
  <c r="R13" i="4"/>
  <c r="P13" i="4"/>
  <c r="O13" i="4"/>
  <c r="N13" i="4"/>
  <c r="R12" i="4"/>
  <c r="P12" i="4"/>
  <c r="O12" i="4"/>
  <c r="N12" i="4"/>
  <c r="R11" i="4"/>
  <c r="Q11" i="4"/>
  <c r="O11" i="4"/>
  <c r="N11" i="4"/>
  <c r="R10" i="4"/>
  <c r="Q10" i="4"/>
  <c r="P10" i="4"/>
  <c r="O10" i="4"/>
  <c r="N10" i="4"/>
  <c r="R9" i="4"/>
  <c r="Q9" i="4"/>
  <c r="P9" i="4"/>
  <c r="O9" i="4"/>
  <c r="N9" i="4"/>
  <c r="R8" i="4"/>
  <c r="P8" i="4"/>
  <c r="O8" i="4"/>
  <c r="N8" i="4"/>
  <c r="R7" i="4"/>
  <c r="Q7" i="4"/>
  <c r="P7" i="4"/>
  <c r="O7" i="4"/>
  <c r="N7" i="4"/>
  <c r="O28" i="3"/>
  <c r="P28" i="3"/>
  <c r="Q28" i="3"/>
  <c r="R28" i="3"/>
  <c r="O29" i="3"/>
  <c r="O30" i="3" s="1"/>
  <c r="P29" i="3"/>
  <c r="Q29" i="3"/>
  <c r="R29" i="3"/>
  <c r="P30" i="3"/>
  <c r="Q30" i="3"/>
  <c r="R30" i="3"/>
  <c r="O27" i="3"/>
  <c r="P27" i="3"/>
  <c r="Q27" i="3"/>
  <c r="R27" i="3"/>
  <c r="N30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7" i="3"/>
  <c r="N29" i="3"/>
  <c r="N28" i="3"/>
  <c r="N2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K7" i="3"/>
  <c r="I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7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7" i="3"/>
  <c r="N29" i="4" l="1"/>
  <c r="P28" i="4"/>
  <c r="P30" i="4" s="1"/>
  <c r="Q27" i="4"/>
  <c r="P27" i="4"/>
  <c r="R28" i="4"/>
  <c r="R30" i="4" s="1"/>
  <c r="R27" i="4"/>
  <c r="R29" i="4"/>
  <c r="O29" i="4"/>
  <c r="Q29" i="4"/>
  <c r="P29" i="4"/>
  <c r="N28" i="4"/>
  <c r="N30" i="4" s="1"/>
  <c r="O28" i="4"/>
  <c r="N27" i="4"/>
  <c r="Q28" i="4"/>
  <c r="Q30" i="4" s="1"/>
  <c r="O27" i="4"/>
  <c r="O30" i="4" l="1"/>
</calcChain>
</file>

<file path=xl/sharedStrings.xml><?xml version="1.0" encoding="utf-8"?>
<sst xmlns="http://schemas.openxmlformats.org/spreadsheetml/2006/main" count="98" uniqueCount="28">
  <si>
    <t>Equilibrium Testing</t>
  </si>
  <si>
    <t>Temp (C)</t>
  </si>
  <si>
    <t>Time to Reach Desired Temp (s)</t>
  </si>
  <si>
    <t xml:space="preserve">Amount of Medium: </t>
  </si>
  <si>
    <t>AVG</t>
  </si>
  <si>
    <t>STDEVA</t>
  </si>
  <si>
    <t>Times (s)</t>
  </si>
  <si>
    <t>Base Temp: 22</t>
  </si>
  <si>
    <t>n</t>
  </si>
  <si>
    <t>SEM</t>
  </si>
  <si>
    <t>Alive</t>
  </si>
  <si>
    <t>Population</t>
  </si>
  <si>
    <t>TEMPS</t>
  </si>
  <si>
    <t>0.1-0.16</t>
  </si>
  <si>
    <t>Stressful Threshold</t>
  </si>
  <si>
    <t>Heat-Hardened Survival</t>
  </si>
  <si>
    <t>Dead</t>
  </si>
  <si>
    <t>Survival Proportions</t>
  </si>
  <si>
    <t>STDEV</t>
  </si>
  <si>
    <t>Immediate Mortality</t>
  </si>
  <si>
    <t>24-Hour Mortality</t>
  </si>
  <si>
    <t>Pilot Testing</t>
  </si>
  <si>
    <t>IMMEDIATE MORTALITY RESULTS VOIDED AS THEY DO NOT MAKE SENSE</t>
  </si>
  <si>
    <t xml:space="preserve">Immediate </t>
  </si>
  <si>
    <t xml:space="preserve">24-Hour </t>
  </si>
  <si>
    <t>Immediate survival proportion should be greater or equal to 24-hour survival proportion</t>
  </si>
  <si>
    <t>Survival proportion shouldn't increase perhaps some physiological response to stressful temps where beetles go into a catatonic state and exhibit limited movement?</t>
  </si>
  <si>
    <t>Improvement for future: better measurement for determining/measuring death of beetles. Measuring CO2 concentration over time??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</si>
</sst>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u/>
      <sz val="22"/>
      <color theme="1"/>
      <name val="Aptos Narrow"/>
      <scheme val="minor"/>
    </font>
    <font>
      <sz val="16"/>
      <color theme="0"/>
      <name val="Aptos Narrow"/>
      <family val="2"/>
      <scheme val="minor"/>
    </font>
    <font>
      <sz val="12"/>
      <name val="Arial"/>
      <family val="2"/>
    </font>
    <font>
      <sz val="12"/>
      <color rgb="FFFF0000"/>
      <name val="Aptos Narrow"/>
      <family val="2"/>
      <scheme val="minor"/>
    </font>
    <font>
      <sz val="14"/>
      <color theme="0"/>
      <name val="Aptos Narrow"/>
      <family val="2"/>
      <scheme val="minor"/>
    </font>
    <font>
      <u/>
      <sz val="16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0"/>
      <name val="Aptos Narrow"/>
      <scheme val="minor"/>
    </font>
    <font>
      <b/>
      <sz val="12"/>
      <color theme="0"/>
      <name val="Aptos Narrow"/>
      <scheme val="minor"/>
    </font>
    <font>
      <b/>
      <sz val="18"/>
      <color theme="0"/>
      <name val="Aptos Narrow"/>
      <scheme val="minor"/>
    </font>
    <font>
      <b/>
      <u/>
      <sz val="22"/>
      <color rgb="FF000000"/>
      <name val="Aptos Display"/>
    </font>
    <font>
      <b/>
      <u/>
      <sz val="22"/>
      <color theme="1"/>
      <name val="Aptos Display"/>
    </font>
    <font>
      <u/>
      <sz val="16"/>
      <color rgb="FFFFFFFF"/>
      <name val="Aptos Narrow"/>
      <family val="2"/>
      <scheme val="minor"/>
    </font>
    <font>
      <sz val="12"/>
      <color rgb="FFFFFFFF"/>
      <name val="Aptos Narrow"/>
      <family val="2"/>
      <scheme val="minor"/>
    </font>
    <font>
      <b/>
      <sz val="14"/>
      <color rgb="FFFFFFFF"/>
      <name val="Aptos Narrow"/>
      <scheme val="minor"/>
    </font>
    <font>
      <b/>
      <sz val="12"/>
      <color rgb="FFFF0000"/>
      <name val="Aptos Narrow"/>
      <scheme val="minor"/>
    </font>
    <font>
      <b/>
      <i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rgb="FF000000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Fill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5" xfId="0" applyFill="1" applyBorder="1"/>
    <xf numFmtId="0" fontId="0" fillId="4" borderId="6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9" xfId="0" applyFill="1" applyBorder="1"/>
    <xf numFmtId="0" fontId="8" fillId="0" borderId="1" xfId="0" applyFont="1" applyBorder="1"/>
    <xf numFmtId="0" fontId="9" fillId="2" borderId="10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8" fillId="3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0" fillId="3" borderId="0" xfId="0" applyFill="1" applyBorder="1"/>
    <xf numFmtId="0" fontId="0" fillId="3" borderId="8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0" fillId="4" borderId="0" xfId="0" applyFill="1" applyBorder="1"/>
    <xf numFmtId="0" fontId="14" fillId="5" borderId="10" xfId="0" applyFont="1" applyFill="1" applyBorder="1" applyAlignment="1">
      <alignment horizontal="center"/>
    </xf>
    <xf numFmtId="0" fontId="14" fillId="5" borderId="11" xfId="0" applyFont="1" applyFill="1" applyBorder="1" applyAlignment="1">
      <alignment horizontal="center"/>
    </xf>
    <xf numFmtId="0" fontId="14" fillId="5" borderId="12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7" fillId="0" borderId="0" xfId="0" applyFont="1"/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6" fillId="5" borderId="10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5" fillId="5" borderId="10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BE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to Reach Desired Temp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'Equilibrium Test'!$H$5</c:f>
              <c:strCache>
                <c:ptCount val="1"/>
                <c:pt idx="0">
                  <c:v>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2800196616824222E-2"/>
                  <c:y val="-4.38796902870991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'Equilibrium Test'!$K$6:$K$11</c:f>
                <c:numCache>
                  <c:formatCode>General</c:formatCode>
                  <c:ptCount val="6"/>
                  <c:pt idx="0">
                    <c:v>2.2226110770892888</c:v>
                  </c:pt>
                  <c:pt idx="1">
                    <c:v>1.5684387141358123</c:v>
                  </c:pt>
                  <c:pt idx="2">
                    <c:v>1.8867962264113205</c:v>
                  </c:pt>
                  <c:pt idx="3">
                    <c:v>1.2247448713915889</c:v>
                  </c:pt>
                  <c:pt idx="4">
                    <c:v>1.5811388300841895</c:v>
                  </c:pt>
                </c:numCache>
              </c:numRef>
            </c:plus>
            <c:minus>
              <c:numRef>
                <c:f>'Equilibrium Test'!$K$6:$K$11</c:f>
                <c:numCache>
                  <c:formatCode>General</c:formatCode>
                  <c:ptCount val="6"/>
                  <c:pt idx="0">
                    <c:v>2.2226110770892888</c:v>
                  </c:pt>
                  <c:pt idx="1">
                    <c:v>1.5684387141358123</c:v>
                  </c:pt>
                  <c:pt idx="2">
                    <c:v>1.8867962264113205</c:v>
                  </c:pt>
                  <c:pt idx="3">
                    <c:v>1.2247448713915889</c:v>
                  </c:pt>
                  <c:pt idx="4">
                    <c:v>1.5811388300841895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'Equilibrium Test'!$B$6:$B$10</c:f>
              <c:numCache>
                <c:formatCode>General</c:formatCode>
                <c:ptCount val="5"/>
                <c:pt idx="0">
                  <c:v>25</c:v>
                </c:pt>
                <c:pt idx="1">
                  <c:v>36</c:v>
                </c:pt>
                <c:pt idx="2">
                  <c:v>38</c:v>
                </c:pt>
                <c:pt idx="3">
                  <c:v>40</c:v>
                </c:pt>
                <c:pt idx="4">
                  <c:v>42</c:v>
                </c:pt>
              </c:numCache>
            </c:numRef>
          </c:xVal>
          <c:yVal>
            <c:numRef>
              <c:f>'Equilibrium Test'!$H$6:$H$10</c:f>
              <c:numCache>
                <c:formatCode>General</c:formatCode>
                <c:ptCount val="5"/>
                <c:pt idx="0">
                  <c:v>31.8</c:v>
                </c:pt>
                <c:pt idx="1">
                  <c:v>63.4</c:v>
                </c:pt>
                <c:pt idx="2">
                  <c:v>70.400000000000006</c:v>
                </c:pt>
                <c:pt idx="3">
                  <c:v>80</c:v>
                </c:pt>
                <c:pt idx="4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80-1846-9DC5-C9E2D7E2A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8097600"/>
        <c:axId val="2048432288"/>
      </c:scatterChart>
      <c:valAx>
        <c:axId val="2048097600"/>
        <c:scaling>
          <c:orientation val="minMax"/>
          <c:max val="44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Temp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432288"/>
        <c:crosses val="autoZero"/>
        <c:crossBetween val="midCat"/>
        <c:majorUnit val="1"/>
      </c:valAx>
      <c:valAx>
        <c:axId val="204843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097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Stressful Threshold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'Stressful Threshold'!$N$30:$R$30</c:f>
                <c:numCache>
                  <c:formatCode>General</c:formatCode>
                  <c:ptCount val="5"/>
                  <c:pt idx="0">
                    <c:v>1.6975214129336988E-2</c:v>
                  </c:pt>
                  <c:pt idx="1">
                    <c:v>2.1275139927797764E-2</c:v>
                  </c:pt>
                  <c:pt idx="2">
                    <c:v>3.6472772829807446E-2</c:v>
                  </c:pt>
                  <c:pt idx="3">
                    <c:v>2.4708830724853748E-2</c:v>
                  </c:pt>
                  <c:pt idx="4">
                    <c:v>2.1643037047317987E-2</c:v>
                  </c:pt>
                </c:numCache>
              </c:numRef>
            </c:plus>
            <c:minus>
              <c:numRef>
                <c:f>'Stressful Threshold'!$N$30:$R$30</c:f>
                <c:numCache>
                  <c:formatCode>General</c:formatCode>
                  <c:ptCount val="5"/>
                  <c:pt idx="0">
                    <c:v>1.6975214129336988E-2</c:v>
                  </c:pt>
                  <c:pt idx="1">
                    <c:v>2.1275139927797764E-2</c:v>
                  </c:pt>
                  <c:pt idx="2">
                    <c:v>3.6472772829807446E-2</c:v>
                  </c:pt>
                  <c:pt idx="3">
                    <c:v>2.4708830724853748E-2</c:v>
                  </c:pt>
                  <c:pt idx="4">
                    <c:v>2.1643037047317987E-2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'Stressful Threshold'!$N$6:$R$6</c:f>
              <c:numCache>
                <c:formatCode>General</c:formatCode>
                <c:ptCount val="5"/>
                <c:pt idx="0">
                  <c:v>25</c:v>
                </c:pt>
                <c:pt idx="1">
                  <c:v>36</c:v>
                </c:pt>
                <c:pt idx="2">
                  <c:v>38</c:v>
                </c:pt>
                <c:pt idx="3">
                  <c:v>40</c:v>
                </c:pt>
                <c:pt idx="4">
                  <c:v>42</c:v>
                </c:pt>
              </c:numCache>
            </c:numRef>
          </c:xVal>
          <c:yVal>
            <c:numRef>
              <c:f>'Stressful Threshold'!$N$27:$R$27</c:f>
              <c:numCache>
                <c:formatCode>General</c:formatCode>
                <c:ptCount val="5"/>
                <c:pt idx="0">
                  <c:v>0.95500000000000007</c:v>
                </c:pt>
                <c:pt idx="1">
                  <c:v>0.88000000000000012</c:v>
                </c:pt>
                <c:pt idx="2">
                  <c:v>0.76500000000000001</c:v>
                </c:pt>
                <c:pt idx="3">
                  <c:v>0.57999999999999996</c:v>
                </c:pt>
                <c:pt idx="4">
                  <c:v>0.29000000000000004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25-9841-9396-B3D72748C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484735"/>
        <c:axId val="1478476223"/>
      </c:scatterChart>
      <c:valAx>
        <c:axId val="1478484735"/>
        <c:scaling>
          <c:orientation val="minMax"/>
          <c:max val="45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476223"/>
        <c:crosses val="autoZero"/>
        <c:crossBetween val="midCat"/>
      </c:valAx>
      <c:valAx>
        <c:axId val="147847622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48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Heat-Hardened Survival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'Heat-Hardened Survival'!$N$30:$R$30</c:f>
                <c:numCache>
                  <c:formatCode>General</c:formatCode>
                  <c:ptCount val="5"/>
                  <c:pt idx="0">
                    <c:v>8.1917802190912496E-3</c:v>
                  </c:pt>
                  <c:pt idx="1">
                    <c:v>1.6858544608470489E-2</c:v>
                  </c:pt>
                  <c:pt idx="2">
                    <c:v>2.5623796505756597E-2</c:v>
                  </c:pt>
                  <c:pt idx="3">
                    <c:v>2.5417565414078341E-2</c:v>
                  </c:pt>
                  <c:pt idx="4">
                    <c:v>2.8353965655990042E-2</c:v>
                  </c:pt>
                </c:numCache>
              </c:numRef>
            </c:plus>
            <c:minus>
              <c:numRef>
                <c:f>'Heat-Hardened Survival'!$N$30:$R$30</c:f>
                <c:numCache>
                  <c:formatCode>General</c:formatCode>
                  <c:ptCount val="5"/>
                  <c:pt idx="0">
                    <c:v>8.1917802190912496E-3</c:v>
                  </c:pt>
                  <c:pt idx="1">
                    <c:v>1.6858544608470489E-2</c:v>
                  </c:pt>
                  <c:pt idx="2">
                    <c:v>2.5623796505756597E-2</c:v>
                  </c:pt>
                  <c:pt idx="3">
                    <c:v>2.5417565414078341E-2</c:v>
                  </c:pt>
                  <c:pt idx="4">
                    <c:v>2.8353965655990042E-2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'Heat-Hardened Survival'!$N$6:$R$6</c:f>
              <c:numCache>
                <c:formatCode>General</c:formatCode>
                <c:ptCount val="5"/>
                <c:pt idx="0">
                  <c:v>25</c:v>
                </c:pt>
                <c:pt idx="1">
                  <c:v>36</c:v>
                </c:pt>
                <c:pt idx="2">
                  <c:v>38</c:v>
                </c:pt>
                <c:pt idx="3">
                  <c:v>40</c:v>
                </c:pt>
                <c:pt idx="4">
                  <c:v>42</c:v>
                </c:pt>
              </c:numCache>
            </c:numRef>
          </c:xVal>
          <c:yVal>
            <c:numRef>
              <c:f>'Heat-Hardened Survival'!$N$27:$R$27</c:f>
              <c:numCache>
                <c:formatCode>General</c:formatCode>
                <c:ptCount val="5"/>
                <c:pt idx="0">
                  <c:v>0.9850000000000001</c:v>
                </c:pt>
                <c:pt idx="1">
                  <c:v>0.93999999999999984</c:v>
                </c:pt>
                <c:pt idx="2">
                  <c:v>0.84500000000000008</c:v>
                </c:pt>
                <c:pt idx="3">
                  <c:v>0.7350000000000001</c:v>
                </c:pt>
                <c:pt idx="4">
                  <c:v>0.53499999999999992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5B-DC4C-8392-1418A409F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484735"/>
        <c:axId val="1478476223"/>
      </c:scatterChart>
      <c:valAx>
        <c:axId val="1478484735"/>
        <c:scaling>
          <c:orientation val="minMax"/>
          <c:max val="45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476223"/>
        <c:crosses val="autoZero"/>
        <c:crossBetween val="midCat"/>
      </c:valAx>
      <c:valAx>
        <c:axId val="147847622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48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7037</xdr:colOff>
      <xdr:row>11</xdr:row>
      <xdr:rowOff>534</xdr:rowOff>
    </xdr:from>
    <xdr:to>
      <xdr:col>9</xdr:col>
      <xdr:colOff>9366</xdr:colOff>
      <xdr:row>28</xdr:row>
      <xdr:rowOff>54830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481E12-584A-E9B2-FE01-0D5920192C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15487</xdr:colOff>
      <xdr:row>27</xdr:row>
      <xdr:rowOff>123903</xdr:rowOff>
    </xdr:from>
    <xdr:to>
      <xdr:col>10</xdr:col>
      <xdr:colOff>749937</xdr:colOff>
      <xdr:row>47</xdr:row>
      <xdr:rowOff>151295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B77C0A-3386-7F4D-91BD-2C53FF800F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23090</xdr:colOff>
      <xdr:row>27</xdr:row>
      <xdr:rowOff>71580</xdr:rowOff>
    </xdr:from>
    <xdr:to>
      <xdr:col>10</xdr:col>
      <xdr:colOff>708837</xdr:colOff>
      <xdr:row>47</xdr:row>
      <xdr:rowOff>147675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1A65D0-3167-E923-B1D4-B2B78264D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0E9AC-D72F-854C-9830-ED12628A82C1}">
  <dimension ref="A1:R27"/>
  <sheetViews>
    <sheetView zoomScaleNormal="100" workbookViewId="0">
      <selection activeCell="J16" sqref="J16"/>
    </sheetView>
  </sheetViews>
  <sheetFormatPr baseColWidth="10" defaultRowHeight="16" x14ac:dyDescent="0.2"/>
  <sheetData>
    <row r="1" spans="1:11" ht="29" x14ac:dyDescent="0.35">
      <c r="A1" s="1" t="s">
        <v>0</v>
      </c>
    </row>
    <row r="2" spans="1:11" x14ac:dyDescent="0.2">
      <c r="B2" t="s">
        <v>3</v>
      </c>
      <c r="D2" t="s">
        <v>13</v>
      </c>
      <c r="E2" t="s">
        <v>7</v>
      </c>
    </row>
    <row r="3" spans="1:11" ht="17" thickBot="1" x14ac:dyDescent="0.25"/>
    <row r="4" spans="1:11" ht="28" customHeight="1" thickBot="1" x14ac:dyDescent="0.25">
      <c r="B4" s="62" t="s">
        <v>2</v>
      </c>
      <c r="C4" s="63"/>
      <c r="D4" s="63"/>
      <c r="E4" s="63"/>
      <c r="F4" s="63"/>
      <c r="G4" s="63"/>
      <c r="H4" s="63"/>
      <c r="I4" s="63"/>
      <c r="J4" s="63"/>
      <c r="K4" s="64"/>
    </row>
    <row r="5" spans="1:11" x14ac:dyDescent="0.2">
      <c r="B5" s="58" t="s">
        <v>1</v>
      </c>
      <c r="C5" s="59" t="s">
        <v>6</v>
      </c>
      <c r="D5" s="59"/>
      <c r="E5" s="59"/>
      <c r="F5" s="59"/>
      <c r="G5" s="59"/>
      <c r="H5" s="58" t="s">
        <v>4</v>
      </c>
      <c r="I5" s="60" t="s">
        <v>5</v>
      </c>
      <c r="J5" s="60" t="s">
        <v>8</v>
      </c>
      <c r="K5" s="61" t="s">
        <v>9</v>
      </c>
    </row>
    <row r="6" spans="1:11" x14ac:dyDescent="0.2">
      <c r="B6" s="31">
        <v>25</v>
      </c>
      <c r="C6" s="56">
        <v>27</v>
      </c>
      <c r="D6" s="56">
        <v>29</v>
      </c>
      <c r="E6" s="56">
        <v>31</v>
      </c>
      <c r="F6" s="56">
        <v>40</v>
      </c>
      <c r="G6" s="56">
        <v>32</v>
      </c>
      <c r="H6" s="31">
        <f>AVERAGE(C6:G6)</f>
        <v>31.8</v>
      </c>
      <c r="I6" s="56">
        <f>STDEVA(C6:G6)</f>
        <v>4.9699094559156753</v>
      </c>
      <c r="J6" s="56">
        <f>COUNT(C6:G6)</f>
        <v>5</v>
      </c>
      <c r="K6" s="32">
        <f>I6/SQRT(J6)</f>
        <v>2.2226110770892888</v>
      </c>
    </row>
    <row r="7" spans="1:11" x14ac:dyDescent="0.2">
      <c r="B7" s="29">
        <v>36</v>
      </c>
      <c r="C7" s="65">
        <v>61</v>
      </c>
      <c r="D7" s="65">
        <v>65</v>
      </c>
      <c r="E7" s="65">
        <v>64</v>
      </c>
      <c r="F7" s="65">
        <v>59</v>
      </c>
      <c r="G7" s="65">
        <v>68</v>
      </c>
      <c r="H7" s="29">
        <f>AVERAGE(C7:G7)</f>
        <v>63.4</v>
      </c>
      <c r="I7" s="65">
        <f>STDEVA(C7:G7)</f>
        <v>3.5071355833500366</v>
      </c>
      <c r="J7" s="65">
        <f>COUNT(C7:G7)</f>
        <v>5</v>
      </c>
      <c r="K7" s="30">
        <f>I7/SQRT(J7)</f>
        <v>1.5684387141358123</v>
      </c>
    </row>
    <row r="8" spans="1:11" x14ac:dyDescent="0.2">
      <c r="B8" s="31">
        <v>38</v>
      </c>
      <c r="C8" s="56">
        <v>75</v>
      </c>
      <c r="D8" s="56">
        <v>73</v>
      </c>
      <c r="E8" s="56">
        <v>65</v>
      </c>
      <c r="F8" s="56">
        <v>72</v>
      </c>
      <c r="G8" s="56">
        <v>67</v>
      </c>
      <c r="H8" s="31">
        <f>AVERAGE(C8:G8)</f>
        <v>70.400000000000006</v>
      </c>
      <c r="I8" s="56">
        <f>STDEVA(C8:G8)</f>
        <v>4.2190046219457971</v>
      </c>
      <c r="J8" s="56">
        <f>COUNT(C8:G8)</f>
        <v>5</v>
      </c>
      <c r="K8" s="32">
        <f>I8/SQRT(J8)</f>
        <v>1.8867962264113205</v>
      </c>
    </row>
    <row r="9" spans="1:11" x14ac:dyDescent="0.2">
      <c r="B9" s="29">
        <v>40</v>
      </c>
      <c r="C9" s="65">
        <v>77</v>
      </c>
      <c r="D9" s="65">
        <v>78</v>
      </c>
      <c r="E9" s="65">
        <v>84</v>
      </c>
      <c r="F9" s="65">
        <v>80</v>
      </c>
      <c r="G9" s="65">
        <v>81</v>
      </c>
      <c r="H9" s="29">
        <f>AVERAGE(C9:G9)</f>
        <v>80</v>
      </c>
      <c r="I9" s="65">
        <f>STDEVA(C9:G9)</f>
        <v>2.7386127875258306</v>
      </c>
      <c r="J9" s="65">
        <f>COUNT(C9:G9)</f>
        <v>5</v>
      </c>
      <c r="K9" s="30">
        <f>I9/SQRT(J9)</f>
        <v>1.2247448713915889</v>
      </c>
    </row>
    <row r="10" spans="1:11" ht="17" thickBot="1" x14ac:dyDescent="0.25">
      <c r="B10" s="33">
        <v>42</v>
      </c>
      <c r="C10" s="57">
        <v>81</v>
      </c>
      <c r="D10" s="57">
        <v>82</v>
      </c>
      <c r="E10" s="57">
        <v>88</v>
      </c>
      <c r="F10" s="57">
        <v>85</v>
      </c>
      <c r="G10" s="57">
        <v>79</v>
      </c>
      <c r="H10" s="33">
        <f>AVERAGE(C10:G10)</f>
        <v>83</v>
      </c>
      <c r="I10" s="57">
        <f>STDEVA(C10:G10)</f>
        <v>3.5355339059327378</v>
      </c>
      <c r="J10" s="57">
        <f>COUNT(C10:G10)</f>
        <v>5</v>
      </c>
      <c r="K10" s="34">
        <f>I10/SQRT(J10)</f>
        <v>1.5811388300841895</v>
      </c>
    </row>
    <row r="11" spans="1:11" x14ac:dyDescent="0.2">
      <c r="G11" s="3"/>
      <c r="H11" s="3"/>
      <c r="I11" s="3"/>
      <c r="J11" s="3"/>
    </row>
    <row r="12" spans="1:11" x14ac:dyDescent="0.2">
      <c r="G12" s="3"/>
      <c r="H12" s="3"/>
      <c r="I12" s="3"/>
      <c r="J12" s="3"/>
    </row>
    <row r="23" spans="14:18" x14ac:dyDescent="0.2">
      <c r="N23" s="2"/>
      <c r="O23" s="2"/>
      <c r="P23" s="2"/>
      <c r="Q23" s="2"/>
      <c r="R23" s="2"/>
    </row>
    <row r="24" spans="14:18" x14ac:dyDescent="0.2">
      <c r="N24" s="2"/>
      <c r="O24" s="2"/>
      <c r="P24" s="2"/>
      <c r="Q24" s="2"/>
      <c r="R24" s="2"/>
    </row>
    <row r="25" spans="14:18" x14ac:dyDescent="0.2">
      <c r="N25" s="2"/>
      <c r="O25" s="2"/>
      <c r="P25" s="2"/>
      <c r="Q25" s="2"/>
      <c r="R25" s="2"/>
    </row>
    <row r="26" spans="14:18" x14ac:dyDescent="0.2">
      <c r="N26" s="2"/>
      <c r="O26" s="2"/>
      <c r="P26" s="2"/>
      <c r="Q26" s="2"/>
      <c r="R26" s="2"/>
    </row>
    <row r="27" spans="14:18" x14ac:dyDescent="0.2">
      <c r="N27" s="2"/>
      <c r="O27" s="2"/>
      <c r="P27" s="2"/>
      <c r="Q27" s="2"/>
      <c r="R27" s="2"/>
    </row>
  </sheetData>
  <mergeCells count="2">
    <mergeCell ref="C5:G5"/>
    <mergeCell ref="B4:K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E5545-B88D-F244-ACD2-05896E9AE1CF}">
  <dimension ref="A1:U18"/>
  <sheetViews>
    <sheetView tabSelected="1" zoomScale="88" zoomScaleNormal="142" workbookViewId="0">
      <selection activeCell="F31" sqref="F31"/>
    </sheetView>
  </sheetViews>
  <sheetFormatPr baseColWidth="10" defaultRowHeight="16" x14ac:dyDescent="0.2"/>
  <sheetData>
    <row r="1" spans="1:21" ht="29" x14ac:dyDescent="0.35">
      <c r="A1" s="1" t="s">
        <v>21</v>
      </c>
    </row>
    <row r="3" spans="1:21" ht="17" thickBot="1" x14ac:dyDescent="0.25">
      <c r="B3" t="s">
        <v>11</v>
      </c>
      <c r="C3">
        <v>10</v>
      </c>
    </row>
    <row r="4" spans="1:21" ht="23" thickBot="1" x14ac:dyDescent="0.35">
      <c r="B4" s="66" t="s">
        <v>12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8"/>
    </row>
    <row r="5" spans="1:21" ht="20" thickBot="1" x14ac:dyDescent="0.25">
      <c r="B5" s="82">
        <v>25</v>
      </c>
      <c r="C5" s="83"/>
      <c r="D5" s="83"/>
      <c r="E5" s="84"/>
      <c r="F5" s="83">
        <v>36</v>
      </c>
      <c r="G5" s="83"/>
      <c r="H5" s="83"/>
      <c r="I5" s="83"/>
      <c r="J5" s="82">
        <v>38</v>
      </c>
      <c r="K5" s="83"/>
      <c r="L5" s="83"/>
      <c r="M5" s="83"/>
      <c r="N5" s="82">
        <v>40</v>
      </c>
      <c r="O5" s="83"/>
      <c r="P5" s="83"/>
      <c r="Q5" s="83"/>
      <c r="R5" s="82">
        <v>42</v>
      </c>
      <c r="S5" s="83"/>
      <c r="T5" s="83"/>
      <c r="U5" s="84"/>
    </row>
    <row r="6" spans="1:21" ht="17" thickBot="1" x14ac:dyDescent="0.25">
      <c r="B6" s="69" t="s">
        <v>19</v>
      </c>
      <c r="C6" s="70"/>
      <c r="D6" s="70" t="s">
        <v>20</v>
      </c>
      <c r="E6" s="71"/>
      <c r="F6" s="70" t="s">
        <v>19</v>
      </c>
      <c r="G6" s="70"/>
      <c r="H6" s="70" t="s">
        <v>20</v>
      </c>
      <c r="I6" s="70"/>
      <c r="J6" s="70" t="s">
        <v>19</v>
      </c>
      <c r="K6" s="70"/>
      <c r="L6" s="70" t="s">
        <v>20</v>
      </c>
      <c r="M6" s="70"/>
      <c r="N6" s="85" t="s">
        <v>19</v>
      </c>
      <c r="O6" s="86"/>
      <c r="P6" s="85" t="s">
        <v>20</v>
      </c>
      <c r="Q6" s="86"/>
      <c r="R6" s="70" t="s">
        <v>19</v>
      </c>
      <c r="S6" s="70"/>
      <c r="T6" s="70" t="s">
        <v>20</v>
      </c>
      <c r="U6" s="71"/>
    </row>
    <row r="7" spans="1:21" ht="17" thickBot="1" x14ac:dyDescent="0.25">
      <c r="B7" s="87" t="s">
        <v>10</v>
      </c>
      <c r="C7" s="88" t="s">
        <v>16</v>
      </c>
      <c r="D7" s="87" t="s">
        <v>10</v>
      </c>
      <c r="E7" s="88" t="s">
        <v>16</v>
      </c>
      <c r="F7" s="87" t="s">
        <v>10</v>
      </c>
      <c r="G7" s="88" t="s">
        <v>16</v>
      </c>
      <c r="H7" s="87" t="s">
        <v>10</v>
      </c>
      <c r="I7" s="88" t="s">
        <v>16</v>
      </c>
      <c r="J7" s="87" t="s">
        <v>10</v>
      </c>
      <c r="K7" s="88" t="s">
        <v>16</v>
      </c>
      <c r="L7" s="87" t="s">
        <v>10</v>
      </c>
      <c r="M7" s="88" t="s">
        <v>16</v>
      </c>
      <c r="N7" s="87" t="s">
        <v>10</v>
      </c>
      <c r="O7" s="89" t="s">
        <v>16</v>
      </c>
      <c r="P7" s="87" t="s">
        <v>10</v>
      </c>
      <c r="Q7" s="89" t="s">
        <v>16</v>
      </c>
      <c r="R7" s="88" t="s">
        <v>10</v>
      </c>
      <c r="S7" s="88" t="s">
        <v>16</v>
      </c>
      <c r="T7" s="87" t="s">
        <v>10</v>
      </c>
      <c r="U7" s="89" t="s">
        <v>16</v>
      </c>
    </row>
    <row r="8" spans="1:21" x14ac:dyDescent="0.2">
      <c r="B8" s="14">
        <v>10</v>
      </c>
      <c r="C8" s="42">
        <f>$C$3-B8</f>
        <v>0</v>
      </c>
      <c r="D8" s="26">
        <v>10</v>
      </c>
      <c r="E8" s="26">
        <f>$C$3-D8</f>
        <v>0</v>
      </c>
      <c r="F8" s="14">
        <v>8</v>
      </c>
      <c r="G8" s="42">
        <f>$C$3-F8</f>
        <v>2</v>
      </c>
      <c r="H8" s="26">
        <v>9</v>
      </c>
      <c r="I8" s="21">
        <f>$C$3-H8</f>
        <v>1</v>
      </c>
      <c r="J8" s="42">
        <v>5</v>
      </c>
      <c r="K8" s="42">
        <f>$C$3-J8</f>
        <v>5</v>
      </c>
      <c r="L8" s="26">
        <v>10</v>
      </c>
      <c r="M8" s="26">
        <f>$C$3-L8</f>
        <v>0</v>
      </c>
      <c r="N8" s="14">
        <v>4</v>
      </c>
      <c r="O8" s="42">
        <f>$C$3-N8</f>
        <v>6</v>
      </c>
      <c r="P8" s="26">
        <v>7</v>
      </c>
      <c r="Q8" s="21">
        <f>$C$3-P8</f>
        <v>3</v>
      </c>
      <c r="R8" s="42">
        <v>1</v>
      </c>
      <c r="S8" s="42">
        <f>$C$3-R8</f>
        <v>9</v>
      </c>
      <c r="T8" s="26">
        <v>3</v>
      </c>
      <c r="U8" s="21">
        <f>$C$3-T8</f>
        <v>7</v>
      </c>
    </row>
    <row r="9" spans="1:21" x14ac:dyDescent="0.2">
      <c r="B9" s="16">
        <v>9</v>
      </c>
      <c r="C9" s="43">
        <f t="shared" ref="C9:C10" si="0">$C$3-B9</f>
        <v>1</v>
      </c>
      <c r="D9" s="27">
        <v>9</v>
      </c>
      <c r="E9" s="27">
        <f t="shared" ref="E9:E10" si="1">$C$3-D9</f>
        <v>1</v>
      </c>
      <c r="F9" s="16">
        <v>7</v>
      </c>
      <c r="G9" s="43">
        <f t="shared" ref="G9:G10" si="2">$C$3-F9</f>
        <v>3</v>
      </c>
      <c r="H9" s="27">
        <v>10</v>
      </c>
      <c r="I9" s="23">
        <f>$C$3-H9</f>
        <v>0</v>
      </c>
      <c r="J9" s="43">
        <v>7</v>
      </c>
      <c r="K9" s="43">
        <f t="shared" ref="K9:K10" si="3">$C$3-J9</f>
        <v>3</v>
      </c>
      <c r="L9" s="27">
        <v>9</v>
      </c>
      <c r="M9" s="27">
        <f t="shared" ref="M9:M10" si="4">$C$3-L9</f>
        <v>1</v>
      </c>
      <c r="N9" s="16">
        <v>3</v>
      </c>
      <c r="O9" s="43">
        <f t="shared" ref="O9:O10" si="5">$C$3-N9</f>
        <v>7</v>
      </c>
      <c r="P9" s="27">
        <v>7</v>
      </c>
      <c r="Q9" s="23">
        <f t="shared" ref="Q9:Q10" si="6">$C$3-P9</f>
        <v>3</v>
      </c>
      <c r="R9" s="43">
        <v>0</v>
      </c>
      <c r="S9" s="43">
        <f t="shared" ref="S9:S10" si="7">$C$3-R9</f>
        <v>10</v>
      </c>
      <c r="T9" s="27">
        <v>3</v>
      </c>
      <c r="U9" s="23">
        <f t="shared" ref="U9:U10" si="8">$C$3-T9</f>
        <v>7</v>
      </c>
    </row>
    <row r="10" spans="1:21" ht="17" thickBot="1" x14ac:dyDescent="0.25">
      <c r="B10" s="18">
        <v>10</v>
      </c>
      <c r="C10" s="44">
        <f t="shared" si="0"/>
        <v>0</v>
      </c>
      <c r="D10" s="28">
        <v>10</v>
      </c>
      <c r="E10" s="28">
        <f t="shared" si="1"/>
        <v>0</v>
      </c>
      <c r="F10" s="18">
        <v>8</v>
      </c>
      <c r="G10" s="44">
        <f t="shared" si="2"/>
        <v>2</v>
      </c>
      <c r="H10" s="28">
        <v>9</v>
      </c>
      <c r="I10" s="25">
        <f>$C$3-H10</f>
        <v>1</v>
      </c>
      <c r="J10" s="44">
        <v>6</v>
      </c>
      <c r="K10" s="44">
        <f t="shared" si="3"/>
        <v>4</v>
      </c>
      <c r="L10" s="28">
        <v>6</v>
      </c>
      <c r="M10" s="28">
        <f t="shared" si="4"/>
        <v>4</v>
      </c>
      <c r="N10" s="18">
        <v>5</v>
      </c>
      <c r="O10" s="44">
        <f t="shared" si="5"/>
        <v>5</v>
      </c>
      <c r="P10" s="28">
        <v>6</v>
      </c>
      <c r="Q10" s="25">
        <f t="shared" si="6"/>
        <v>4</v>
      </c>
      <c r="R10" s="44">
        <v>2</v>
      </c>
      <c r="S10" s="44">
        <f t="shared" si="7"/>
        <v>8</v>
      </c>
      <c r="T10" s="28">
        <v>4</v>
      </c>
      <c r="U10" s="25">
        <f t="shared" si="8"/>
        <v>6</v>
      </c>
    </row>
    <row r="12" spans="1:21" ht="24" x14ac:dyDescent="0.3">
      <c r="B12" s="75" t="s">
        <v>17</v>
      </c>
      <c r="C12" s="76"/>
      <c r="D12" s="76"/>
      <c r="E12" s="76"/>
      <c r="F12" s="76"/>
      <c r="G12" s="76"/>
      <c r="H12" s="76"/>
      <c r="I12" s="76"/>
      <c r="J12" s="76"/>
      <c r="K12" s="76"/>
      <c r="M12" s="72" t="s">
        <v>22</v>
      </c>
    </row>
    <row r="13" spans="1:21" ht="23" thickBot="1" x14ac:dyDescent="0.25">
      <c r="B13" s="90" t="s">
        <v>12</v>
      </c>
      <c r="C13" s="91"/>
      <c r="D13" s="91"/>
      <c r="E13" s="91"/>
      <c r="F13" s="91"/>
      <c r="G13" s="91"/>
      <c r="H13" s="91"/>
      <c r="I13" s="91"/>
      <c r="J13" s="91"/>
      <c r="K13" s="91"/>
    </row>
    <row r="14" spans="1:21" ht="20" thickBot="1" x14ac:dyDescent="0.25">
      <c r="B14" s="77">
        <v>25</v>
      </c>
      <c r="C14" s="78"/>
      <c r="D14" s="77">
        <v>36</v>
      </c>
      <c r="E14" s="78"/>
      <c r="F14" s="73">
        <v>38</v>
      </c>
      <c r="G14" s="74"/>
      <c r="H14" s="73">
        <v>40</v>
      </c>
      <c r="I14" s="74"/>
      <c r="J14" s="73">
        <v>42</v>
      </c>
      <c r="K14" s="74"/>
      <c r="M14" s="101" t="s">
        <v>25</v>
      </c>
    </row>
    <row r="15" spans="1:21" ht="18" thickBot="1" x14ac:dyDescent="0.25">
      <c r="B15" s="79" t="s">
        <v>23</v>
      </c>
      <c r="C15" s="81" t="s">
        <v>24</v>
      </c>
      <c r="D15" s="79" t="s">
        <v>23</v>
      </c>
      <c r="E15" s="81" t="s">
        <v>24</v>
      </c>
      <c r="F15" s="79" t="s">
        <v>23</v>
      </c>
      <c r="G15" s="80" t="s">
        <v>24</v>
      </c>
      <c r="H15" s="79" t="s">
        <v>23</v>
      </c>
      <c r="I15" s="80" t="s">
        <v>24</v>
      </c>
      <c r="J15" s="79" t="s">
        <v>23</v>
      </c>
      <c r="K15" s="80" t="s">
        <v>24</v>
      </c>
      <c r="M15" t="s">
        <v>26</v>
      </c>
    </row>
    <row r="16" spans="1:21" x14ac:dyDescent="0.2">
      <c r="B16" s="92">
        <f>B8/$C$3</f>
        <v>1</v>
      </c>
      <c r="C16" s="15">
        <f>D8/$C$3</f>
        <v>1</v>
      </c>
      <c r="D16" s="95">
        <f>F8/$C$3</f>
        <v>0.8</v>
      </c>
      <c r="E16" s="21">
        <f>H8/$C$3</f>
        <v>0.9</v>
      </c>
      <c r="F16" s="92">
        <f>J8/$C$3</f>
        <v>0.5</v>
      </c>
      <c r="G16" s="42">
        <f>L8/$C$3</f>
        <v>1</v>
      </c>
      <c r="H16" s="95">
        <f>N8/$C$3</f>
        <v>0.4</v>
      </c>
      <c r="I16" s="21">
        <f>P8/$C$3</f>
        <v>0.7</v>
      </c>
      <c r="J16" s="98">
        <f>R8/$C$3</f>
        <v>0.1</v>
      </c>
      <c r="K16" s="15">
        <f>T8/$C$3</f>
        <v>0.3</v>
      </c>
      <c r="M16" t="s">
        <v>27</v>
      </c>
    </row>
    <row r="17" spans="2:11" x14ac:dyDescent="0.2">
      <c r="B17" s="93">
        <f t="shared" ref="B17:B18" si="9">B9/$C$3</f>
        <v>0.9</v>
      </c>
      <c r="C17" s="17">
        <f t="shared" ref="C17:C18" si="10">D9/$C$3</f>
        <v>0.9</v>
      </c>
      <c r="D17" s="96">
        <f t="shared" ref="D17:D18" si="11">F9/$C$3</f>
        <v>0.7</v>
      </c>
      <c r="E17" s="23">
        <f t="shared" ref="E17:E18" si="12">H9/$C$3</f>
        <v>1</v>
      </c>
      <c r="F17" s="93">
        <f t="shared" ref="F17:F18" si="13">J9/$C$3</f>
        <v>0.7</v>
      </c>
      <c r="G17" s="43">
        <f t="shared" ref="G17:G18" si="14">L9/$C$3</f>
        <v>0.9</v>
      </c>
      <c r="H17" s="96">
        <f t="shared" ref="H17:H18" si="15">N9/$C$3</f>
        <v>0.3</v>
      </c>
      <c r="I17" s="23">
        <f t="shared" ref="I17:I18" si="16">P9/$C$3</f>
        <v>0.7</v>
      </c>
      <c r="J17" s="99">
        <f t="shared" ref="J17:J18" si="17">R9/$C$3</f>
        <v>0</v>
      </c>
      <c r="K17" s="17">
        <f>T9/$C$3</f>
        <v>0.3</v>
      </c>
    </row>
    <row r="18" spans="2:11" ht="17" thickBot="1" x14ac:dyDescent="0.25">
      <c r="B18" s="94">
        <f t="shared" si="9"/>
        <v>1</v>
      </c>
      <c r="C18" s="19">
        <f t="shared" si="10"/>
        <v>1</v>
      </c>
      <c r="D18" s="97">
        <f t="shared" si="11"/>
        <v>0.8</v>
      </c>
      <c r="E18" s="25">
        <f t="shared" si="12"/>
        <v>0.9</v>
      </c>
      <c r="F18" s="94">
        <f t="shared" si="13"/>
        <v>0.6</v>
      </c>
      <c r="G18" s="44">
        <f t="shared" si="14"/>
        <v>0.6</v>
      </c>
      <c r="H18" s="97">
        <f t="shared" si="15"/>
        <v>0.5</v>
      </c>
      <c r="I18" s="25">
        <f t="shared" si="16"/>
        <v>0.6</v>
      </c>
      <c r="J18" s="100">
        <f t="shared" si="17"/>
        <v>0.2</v>
      </c>
      <c r="K18" s="19">
        <f t="shared" ref="K17:K18" si="18">T10/$C$3</f>
        <v>0.4</v>
      </c>
    </row>
  </sheetData>
  <mergeCells count="23">
    <mergeCell ref="B4:U4"/>
    <mergeCell ref="B14:C14"/>
    <mergeCell ref="D14:E14"/>
    <mergeCell ref="F14:G14"/>
    <mergeCell ref="H14:I14"/>
    <mergeCell ref="J14:K14"/>
    <mergeCell ref="B13:K13"/>
    <mergeCell ref="B12:K12"/>
    <mergeCell ref="N5:Q5"/>
    <mergeCell ref="N6:O6"/>
    <mergeCell ref="P6:Q6"/>
    <mergeCell ref="R5:U5"/>
    <mergeCell ref="R6:S6"/>
    <mergeCell ref="T6:U6"/>
    <mergeCell ref="B5:E5"/>
    <mergeCell ref="B6:C6"/>
    <mergeCell ref="D6:E6"/>
    <mergeCell ref="F5:I5"/>
    <mergeCell ref="F6:G6"/>
    <mergeCell ref="H6:I6"/>
    <mergeCell ref="J5:M5"/>
    <mergeCell ref="J6:K6"/>
    <mergeCell ref="L6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AA1E-65F8-3F44-A148-CB8DAB72BAAB}">
  <dimension ref="A1:R30"/>
  <sheetViews>
    <sheetView zoomScale="75" zoomScaleNormal="100" workbookViewId="0">
      <selection activeCell="T30" sqref="T30"/>
    </sheetView>
  </sheetViews>
  <sheetFormatPr baseColWidth="10" defaultRowHeight="16" x14ac:dyDescent="0.2"/>
  <sheetData>
    <row r="1" spans="1:18" ht="29" x14ac:dyDescent="0.35">
      <c r="A1" s="55" t="s">
        <v>14</v>
      </c>
    </row>
    <row r="2" spans="1:18" ht="17" thickBot="1" x14ac:dyDescent="0.25"/>
    <row r="3" spans="1:18" ht="17" thickBot="1" x14ac:dyDescent="0.25">
      <c r="B3" t="s">
        <v>11</v>
      </c>
      <c r="C3" s="35">
        <v>10</v>
      </c>
    </row>
    <row r="4" spans="1:18" ht="25" thickBot="1" x14ac:dyDescent="0.35">
      <c r="B4" s="7" t="s">
        <v>12</v>
      </c>
      <c r="C4" s="8"/>
      <c r="D4" s="8"/>
      <c r="E4" s="8"/>
      <c r="F4" s="8"/>
      <c r="G4" s="8"/>
      <c r="H4" s="8"/>
      <c r="I4" s="8"/>
      <c r="J4" s="8"/>
      <c r="K4" s="9"/>
      <c r="N4" s="39" t="s">
        <v>17</v>
      </c>
      <c r="O4" s="40"/>
      <c r="P4" s="40"/>
      <c r="Q4" s="40"/>
      <c r="R4" s="41"/>
    </row>
    <row r="5" spans="1:18" ht="23" thickBot="1" x14ac:dyDescent="0.25">
      <c r="B5" s="10">
        <v>25</v>
      </c>
      <c r="C5" s="11"/>
      <c r="D5" s="10">
        <v>36</v>
      </c>
      <c r="E5" s="11"/>
      <c r="F5" s="10">
        <v>38</v>
      </c>
      <c r="G5" s="11"/>
      <c r="H5" s="10">
        <v>40</v>
      </c>
      <c r="I5" s="11"/>
      <c r="J5" s="10">
        <v>42</v>
      </c>
      <c r="K5" s="11"/>
      <c r="N5" s="37" t="s">
        <v>12</v>
      </c>
      <c r="O5" s="38"/>
      <c r="P5" s="38"/>
      <c r="Q5" s="38"/>
      <c r="R5" s="38"/>
    </row>
    <row r="6" spans="1:18" ht="20" thickBot="1" x14ac:dyDescent="0.25">
      <c r="B6" s="4" t="s">
        <v>10</v>
      </c>
      <c r="C6" s="5" t="s">
        <v>16</v>
      </c>
      <c r="D6" s="12" t="s">
        <v>10</v>
      </c>
      <c r="E6" s="13" t="s">
        <v>16</v>
      </c>
      <c r="F6" s="5" t="s">
        <v>10</v>
      </c>
      <c r="G6" s="5" t="s">
        <v>16</v>
      </c>
      <c r="H6" s="12" t="s">
        <v>10</v>
      </c>
      <c r="I6" s="13" t="s">
        <v>16</v>
      </c>
      <c r="J6" s="5" t="s">
        <v>10</v>
      </c>
      <c r="K6" s="6" t="s">
        <v>16</v>
      </c>
      <c r="N6" s="36">
        <v>25</v>
      </c>
      <c r="O6" s="36">
        <v>36</v>
      </c>
      <c r="P6" s="36">
        <v>38</v>
      </c>
      <c r="Q6" s="36">
        <v>40</v>
      </c>
      <c r="R6" s="36">
        <v>42</v>
      </c>
    </row>
    <row r="7" spans="1:18" x14ac:dyDescent="0.2">
      <c r="B7" s="14">
        <v>10</v>
      </c>
      <c r="C7" s="15">
        <f>$C$3-B7</f>
        <v>0</v>
      </c>
      <c r="D7" s="20">
        <v>9</v>
      </c>
      <c r="E7" s="21">
        <f>$C$3-D7</f>
        <v>1</v>
      </c>
      <c r="F7" s="14">
        <v>10</v>
      </c>
      <c r="G7" s="15">
        <f>$C$3-F7</f>
        <v>0</v>
      </c>
      <c r="H7" s="20">
        <v>7</v>
      </c>
      <c r="I7" s="21">
        <f>$C$3-H7</f>
        <v>3</v>
      </c>
      <c r="J7" s="14">
        <v>3</v>
      </c>
      <c r="K7" s="15">
        <f>$C$3-J7</f>
        <v>7</v>
      </c>
      <c r="N7" s="14">
        <f>B7/$C$3</f>
        <v>1</v>
      </c>
      <c r="O7" s="26">
        <f>D7/$C$3</f>
        <v>0.9</v>
      </c>
      <c r="P7" s="42">
        <f>F7/$C$3</f>
        <v>1</v>
      </c>
      <c r="Q7" s="26">
        <f>H7/$C$3</f>
        <v>0.7</v>
      </c>
      <c r="R7" s="15">
        <f>J7/$C$3</f>
        <v>0.3</v>
      </c>
    </row>
    <row r="8" spans="1:18" x14ac:dyDescent="0.2">
      <c r="B8" s="16">
        <v>9</v>
      </c>
      <c r="C8" s="17">
        <f t="shared" ref="C8:C27" si="0">$C$3-B8</f>
        <v>1</v>
      </c>
      <c r="D8" s="22">
        <v>10</v>
      </c>
      <c r="E8" s="23">
        <f t="shared" ref="E8:E27" si="1">$C$3-D8</f>
        <v>0</v>
      </c>
      <c r="F8" s="16">
        <v>9</v>
      </c>
      <c r="G8" s="17">
        <f t="shared" ref="G8:G26" si="2">$C$3-F8</f>
        <v>1</v>
      </c>
      <c r="H8" s="22">
        <v>7</v>
      </c>
      <c r="I8" s="23">
        <f t="shared" ref="I8:I26" si="3">$C$3-H8</f>
        <v>3</v>
      </c>
      <c r="J8" s="16">
        <v>3</v>
      </c>
      <c r="K8" s="17">
        <f t="shared" ref="K8:K26" si="4">$C$3-J8</f>
        <v>7</v>
      </c>
      <c r="N8" s="16">
        <f t="shared" ref="N8:N26" si="5">B8/$C$3</f>
        <v>0.9</v>
      </c>
      <c r="O8" s="27">
        <f t="shared" ref="O8:O26" si="6">D8/$C$3</f>
        <v>1</v>
      </c>
      <c r="P8" s="43">
        <f t="shared" ref="P8:P26" si="7">F8/$C$3</f>
        <v>0.9</v>
      </c>
      <c r="Q8" s="27">
        <f t="shared" ref="Q8:Q26" si="8">H8/$C$3</f>
        <v>0.7</v>
      </c>
      <c r="R8" s="17">
        <f t="shared" ref="R8:R26" si="9">J8/$C$3</f>
        <v>0.3</v>
      </c>
    </row>
    <row r="9" spans="1:18" x14ac:dyDescent="0.2">
      <c r="B9" s="16">
        <v>10</v>
      </c>
      <c r="C9" s="17">
        <f t="shared" si="0"/>
        <v>0</v>
      </c>
      <c r="D9" s="22">
        <v>9</v>
      </c>
      <c r="E9" s="23">
        <f t="shared" si="1"/>
        <v>1</v>
      </c>
      <c r="F9" s="16">
        <v>6</v>
      </c>
      <c r="G9" s="17">
        <f t="shared" si="2"/>
        <v>4</v>
      </c>
      <c r="H9" s="22">
        <v>6</v>
      </c>
      <c r="I9" s="23">
        <f t="shared" si="3"/>
        <v>4</v>
      </c>
      <c r="J9" s="16">
        <v>4</v>
      </c>
      <c r="K9" s="17">
        <f t="shared" si="4"/>
        <v>6</v>
      </c>
      <c r="N9" s="16">
        <f t="shared" si="5"/>
        <v>1</v>
      </c>
      <c r="O9" s="27">
        <f t="shared" si="6"/>
        <v>0.9</v>
      </c>
      <c r="P9" s="43">
        <f t="shared" si="7"/>
        <v>0.6</v>
      </c>
      <c r="Q9" s="27">
        <f t="shared" si="8"/>
        <v>0.6</v>
      </c>
      <c r="R9" s="17">
        <f t="shared" si="9"/>
        <v>0.4</v>
      </c>
    </row>
    <row r="10" spans="1:18" x14ac:dyDescent="0.2">
      <c r="B10" s="16">
        <v>10</v>
      </c>
      <c r="C10" s="17">
        <f t="shared" si="0"/>
        <v>0</v>
      </c>
      <c r="D10" s="22">
        <v>8</v>
      </c>
      <c r="E10" s="23">
        <f t="shared" si="1"/>
        <v>2</v>
      </c>
      <c r="F10" s="16">
        <v>7</v>
      </c>
      <c r="G10" s="17">
        <f t="shared" si="2"/>
        <v>3</v>
      </c>
      <c r="H10" s="22">
        <v>6</v>
      </c>
      <c r="I10" s="23">
        <f t="shared" si="3"/>
        <v>4</v>
      </c>
      <c r="J10" s="16">
        <v>1</v>
      </c>
      <c r="K10" s="17">
        <f t="shared" si="4"/>
        <v>9</v>
      </c>
      <c r="N10" s="16">
        <f t="shared" si="5"/>
        <v>1</v>
      </c>
      <c r="O10" s="27">
        <f t="shared" si="6"/>
        <v>0.8</v>
      </c>
      <c r="P10" s="43">
        <f t="shared" si="7"/>
        <v>0.7</v>
      </c>
      <c r="Q10" s="27">
        <f t="shared" si="8"/>
        <v>0.6</v>
      </c>
      <c r="R10" s="17">
        <f t="shared" si="9"/>
        <v>0.1</v>
      </c>
    </row>
    <row r="11" spans="1:18" x14ac:dyDescent="0.2">
      <c r="B11" s="16">
        <v>9</v>
      </c>
      <c r="C11" s="17">
        <f t="shared" si="0"/>
        <v>1</v>
      </c>
      <c r="D11" s="22">
        <v>8</v>
      </c>
      <c r="E11" s="23">
        <f t="shared" si="1"/>
        <v>2</v>
      </c>
      <c r="F11" s="16">
        <v>7</v>
      </c>
      <c r="G11" s="17">
        <f t="shared" si="2"/>
        <v>3</v>
      </c>
      <c r="H11" s="22">
        <v>7</v>
      </c>
      <c r="I11" s="23">
        <f t="shared" si="3"/>
        <v>3</v>
      </c>
      <c r="J11" s="16">
        <v>2</v>
      </c>
      <c r="K11" s="17">
        <f t="shared" si="4"/>
        <v>8</v>
      </c>
      <c r="N11" s="16">
        <f t="shared" si="5"/>
        <v>0.9</v>
      </c>
      <c r="O11" s="27">
        <f t="shared" si="6"/>
        <v>0.8</v>
      </c>
      <c r="P11" s="43">
        <f t="shared" si="7"/>
        <v>0.7</v>
      </c>
      <c r="Q11" s="27">
        <f t="shared" si="8"/>
        <v>0.7</v>
      </c>
      <c r="R11" s="17">
        <f t="shared" si="9"/>
        <v>0.2</v>
      </c>
    </row>
    <row r="12" spans="1:18" x14ac:dyDescent="0.2">
      <c r="B12" s="16">
        <v>10</v>
      </c>
      <c r="C12" s="17">
        <f t="shared" si="0"/>
        <v>0</v>
      </c>
      <c r="D12" s="22">
        <v>10</v>
      </c>
      <c r="E12" s="23">
        <f t="shared" si="1"/>
        <v>0</v>
      </c>
      <c r="F12" s="16">
        <v>8</v>
      </c>
      <c r="G12" s="17">
        <f t="shared" si="2"/>
        <v>2</v>
      </c>
      <c r="H12" s="22">
        <v>4</v>
      </c>
      <c r="I12" s="23">
        <f t="shared" si="3"/>
        <v>6</v>
      </c>
      <c r="J12" s="16">
        <v>2</v>
      </c>
      <c r="K12" s="17">
        <f t="shared" si="4"/>
        <v>8</v>
      </c>
      <c r="N12" s="16">
        <f t="shared" si="5"/>
        <v>1</v>
      </c>
      <c r="O12" s="27">
        <f t="shared" si="6"/>
        <v>1</v>
      </c>
      <c r="P12" s="43">
        <f t="shared" si="7"/>
        <v>0.8</v>
      </c>
      <c r="Q12" s="27">
        <f t="shared" si="8"/>
        <v>0.4</v>
      </c>
      <c r="R12" s="17">
        <f t="shared" si="9"/>
        <v>0.2</v>
      </c>
    </row>
    <row r="13" spans="1:18" x14ac:dyDescent="0.2">
      <c r="B13" s="16">
        <v>8</v>
      </c>
      <c r="C13" s="17">
        <f t="shared" si="0"/>
        <v>2</v>
      </c>
      <c r="D13" s="22">
        <v>9</v>
      </c>
      <c r="E13" s="23">
        <f t="shared" si="1"/>
        <v>1</v>
      </c>
      <c r="F13" s="16">
        <v>6</v>
      </c>
      <c r="G13" s="17">
        <f t="shared" si="2"/>
        <v>4</v>
      </c>
      <c r="H13" s="22">
        <v>5</v>
      </c>
      <c r="I13" s="23">
        <f t="shared" si="3"/>
        <v>5</v>
      </c>
      <c r="J13" s="16">
        <v>1</v>
      </c>
      <c r="K13" s="17">
        <f t="shared" si="4"/>
        <v>9</v>
      </c>
      <c r="N13" s="16">
        <f t="shared" si="5"/>
        <v>0.8</v>
      </c>
      <c r="O13" s="27">
        <f t="shared" si="6"/>
        <v>0.9</v>
      </c>
      <c r="P13" s="43">
        <f t="shared" si="7"/>
        <v>0.6</v>
      </c>
      <c r="Q13" s="27">
        <f t="shared" si="8"/>
        <v>0.5</v>
      </c>
      <c r="R13" s="17">
        <f t="shared" si="9"/>
        <v>0.1</v>
      </c>
    </row>
    <row r="14" spans="1:18" x14ac:dyDescent="0.2">
      <c r="B14" s="16">
        <v>10</v>
      </c>
      <c r="C14" s="17">
        <f t="shared" si="0"/>
        <v>0</v>
      </c>
      <c r="D14" s="22">
        <v>9</v>
      </c>
      <c r="E14" s="23">
        <f t="shared" si="1"/>
        <v>1</v>
      </c>
      <c r="F14" s="16">
        <v>5</v>
      </c>
      <c r="G14" s="17">
        <f t="shared" si="2"/>
        <v>5</v>
      </c>
      <c r="H14" s="22">
        <v>5</v>
      </c>
      <c r="I14" s="23">
        <f t="shared" si="3"/>
        <v>5</v>
      </c>
      <c r="J14" s="16">
        <v>3</v>
      </c>
      <c r="K14" s="17">
        <f t="shared" si="4"/>
        <v>7</v>
      </c>
      <c r="N14" s="16">
        <f t="shared" si="5"/>
        <v>1</v>
      </c>
      <c r="O14" s="27">
        <f t="shared" si="6"/>
        <v>0.9</v>
      </c>
      <c r="P14" s="43">
        <f t="shared" si="7"/>
        <v>0.5</v>
      </c>
      <c r="Q14" s="27">
        <f t="shared" si="8"/>
        <v>0.5</v>
      </c>
      <c r="R14" s="17">
        <f t="shared" si="9"/>
        <v>0.3</v>
      </c>
    </row>
    <row r="15" spans="1:18" x14ac:dyDescent="0.2">
      <c r="B15" s="16">
        <v>8</v>
      </c>
      <c r="C15" s="17">
        <f t="shared" si="0"/>
        <v>2</v>
      </c>
      <c r="D15" s="22">
        <v>7</v>
      </c>
      <c r="E15" s="23">
        <f t="shared" si="1"/>
        <v>3</v>
      </c>
      <c r="F15" s="16">
        <v>10</v>
      </c>
      <c r="G15" s="17">
        <f t="shared" si="2"/>
        <v>0</v>
      </c>
      <c r="H15" s="22">
        <v>6</v>
      </c>
      <c r="I15" s="23">
        <f t="shared" si="3"/>
        <v>4</v>
      </c>
      <c r="J15" s="16">
        <v>4</v>
      </c>
      <c r="K15" s="17">
        <f t="shared" si="4"/>
        <v>6</v>
      </c>
      <c r="N15" s="16">
        <f t="shared" si="5"/>
        <v>0.8</v>
      </c>
      <c r="O15" s="27">
        <f t="shared" si="6"/>
        <v>0.7</v>
      </c>
      <c r="P15" s="43">
        <f t="shared" si="7"/>
        <v>1</v>
      </c>
      <c r="Q15" s="27">
        <f t="shared" si="8"/>
        <v>0.6</v>
      </c>
      <c r="R15" s="17">
        <f t="shared" si="9"/>
        <v>0.4</v>
      </c>
    </row>
    <row r="16" spans="1:18" x14ac:dyDescent="0.2">
      <c r="B16" s="16">
        <v>10</v>
      </c>
      <c r="C16" s="17">
        <f t="shared" si="0"/>
        <v>0</v>
      </c>
      <c r="D16" s="22">
        <v>8</v>
      </c>
      <c r="E16" s="23">
        <f t="shared" si="1"/>
        <v>2</v>
      </c>
      <c r="F16" s="16">
        <v>7</v>
      </c>
      <c r="G16" s="17">
        <f t="shared" si="2"/>
        <v>3</v>
      </c>
      <c r="H16" s="22">
        <v>7</v>
      </c>
      <c r="I16" s="23">
        <f t="shared" si="3"/>
        <v>3</v>
      </c>
      <c r="J16" s="16">
        <v>2</v>
      </c>
      <c r="K16" s="17">
        <f t="shared" si="4"/>
        <v>8</v>
      </c>
      <c r="N16" s="16">
        <f t="shared" si="5"/>
        <v>1</v>
      </c>
      <c r="O16" s="27">
        <f t="shared" si="6"/>
        <v>0.8</v>
      </c>
      <c r="P16" s="43">
        <f t="shared" si="7"/>
        <v>0.7</v>
      </c>
      <c r="Q16" s="27">
        <f t="shared" si="8"/>
        <v>0.7</v>
      </c>
      <c r="R16" s="17">
        <f t="shared" si="9"/>
        <v>0.2</v>
      </c>
    </row>
    <row r="17" spans="2:18" x14ac:dyDescent="0.2">
      <c r="B17" s="16">
        <v>10</v>
      </c>
      <c r="C17" s="17">
        <f t="shared" si="0"/>
        <v>0</v>
      </c>
      <c r="D17" s="22">
        <v>9</v>
      </c>
      <c r="E17" s="23">
        <f t="shared" si="1"/>
        <v>1</v>
      </c>
      <c r="F17" s="16">
        <v>6</v>
      </c>
      <c r="G17" s="17">
        <f t="shared" si="2"/>
        <v>4</v>
      </c>
      <c r="H17" s="22">
        <v>6</v>
      </c>
      <c r="I17" s="23">
        <f t="shared" si="3"/>
        <v>4</v>
      </c>
      <c r="J17" s="16">
        <v>3</v>
      </c>
      <c r="K17" s="17">
        <f t="shared" si="4"/>
        <v>7</v>
      </c>
      <c r="N17" s="16">
        <f t="shared" si="5"/>
        <v>1</v>
      </c>
      <c r="O17" s="27">
        <f t="shared" si="6"/>
        <v>0.9</v>
      </c>
      <c r="P17" s="43">
        <f t="shared" si="7"/>
        <v>0.6</v>
      </c>
      <c r="Q17" s="27">
        <f t="shared" si="8"/>
        <v>0.6</v>
      </c>
      <c r="R17" s="17">
        <f t="shared" si="9"/>
        <v>0.3</v>
      </c>
    </row>
    <row r="18" spans="2:18" x14ac:dyDescent="0.2">
      <c r="B18" s="16">
        <v>8</v>
      </c>
      <c r="C18" s="17">
        <f t="shared" si="0"/>
        <v>2</v>
      </c>
      <c r="D18" s="22">
        <v>9</v>
      </c>
      <c r="E18" s="23">
        <f t="shared" si="1"/>
        <v>1</v>
      </c>
      <c r="F18" s="16">
        <v>10</v>
      </c>
      <c r="G18" s="17">
        <f t="shared" si="2"/>
        <v>0</v>
      </c>
      <c r="H18" s="22">
        <v>5</v>
      </c>
      <c r="I18" s="23">
        <f t="shared" si="3"/>
        <v>5</v>
      </c>
      <c r="J18" s="16">
        <v>4</v>
      </c>
      <c r="K18" s="17">
        <f t="shared" si="4"/>
        <v>6</v>
      </c>
      <c r="N18" s="16">
        <f t="shared" si="5"/>
        <v>0.8</v>
      </c>
      <c r="O18" s="27">
        <f t="shared" si="6"/>
        <v>0.9</v>
      </c>
      <c r="P18" s="43">
        <f t="shared" si="7"/>
        <v>1</v>
      </c>
      <c r="Q18" s="27">
        <f t="shared" si="8"/>
        <v>0.5</v>
      </c>
      <c r="R18" s="17">
        <f t="shared" si="9"/>
        <v>0.4</v>
      </c>
    </row>
    <row r="19" spans="2:18" x14ac:dyDescent="0.2">
      <c r="B19" s="16">
        <v>10</v>
      </c>
      <c r="C19" s="17">
        <f t="shared" si="0"/>
        <v>0</v>
      </c>
      <c r="D19" s="22">
        <v>10</v>
      </c>
      <c r="E19" s="23">
        <f t="shared" si="1"/>
        <v>0</v>
      </c>
      <c r="F19" s="16">
        <v>8</v>
      </c>
      <c r="G19" s="17">
        <f t="shared" si="2"/>
        <v>2</v>
      </c>
      <c r="H19" s="22">
        <v>6</v>
      </c>
      <c r="I19" s="23">
        <f t="shared" si="3"/>
        <v>4</v>
      </c>
      <c r="J19" s="16">
        <v>3</v>
      </c>
      <c r="K19" s="17">
        <f t="shared" si="4"/>
        <v>7</v>
      </c>
      <c r="N19" s="16">
        <f t="shared" si="5"/>
        <v>1</v>
      </c>
      <c r="O19" s="27">
        <f t="shared" si="6"/>
        <v>1</v>
      </c>
      <c r="P19" s="43">
        <f t="shared" si="7"/>
        <v>0.8</v>
      </c>
      <c r="Q19" s="27">
        <f t="shared" si="8"/>
        <v>0.6</v>
      </c>
      <c r="R19" s="17">
        <f t="shared" si="9"/>
        <v>0.3</v>
      </c>
    </row>
    <row r="20" spans="2:18" x14ac:dyDescent="0.2">
      <c r="B20" s="16">
        <v>10</v>
      </c>
      <c r="C20" s="17">
        <f t="shared" si="0"/>
        <v>0</v>
      </c>
      <c r="D20" s="22">
        <v>10</v>
      </c>
      <c r="E20" s="23">
        <f t="shared" si="1"/>
        <v>0</v>
      </c>
      <c r="F20" s="16">
        <v>9</v>
      </c>
      <c r="G20" s="17">
        <f t="shared" si="2"/>
        <v>1</v>
      </c>
      <c r="H20" s="22">
        <v>5</v>
      </c>
      <c r="I20" s="23">
        <f t="shared" si="3"/>
        <v>5</v>
      </c>
      <c r="J20" s="16">
        <v>3</v>
      </c>
      <c r="K20" s="17">
        <f t="shared" si="4"/>
        <v>7</v>
      </c>
      <c r="N20" s="16">
        <f t="shared" si="5"/>
        <v>1</v>
      </c>
      <c r="O20" s="27">
        <f t="shared" si="6"/>
        <v>1</v>
      </c>
      <c r="P20" s="43">
        <f t="shared" si="7"/>
        <v>0.9</v>
      </c>
      <c r="Q20" s="27">
        <f t="shared" si="8"/>
        <v>0.5</v>
      </c>
      <c r="R20" s="17">
        <f t="shared" si="9"/>
        <v>0.3</v>
      </c>
    </row>
    <row r="21" spans="2:18" x14ac:dyDescent="0.2">
      <c r="B21" s="16">
        <v>10</v>
      </c>
      <c r="C21" s="17">
        <f t="shared" si="0"/>
        <v>0</v>
      </c>
      <c r="D21" s="22">
        <v>7</v>
      </c>
      <c r="E21" s="23">
        <f t="shared" si="1"/>
        <v>3</v>
      </c>
      <c r="F21" s="16">
        <v>5</v>
      </c>
      <c r="G21" s="17">
        <f t="shared" si="2"/>
        <v>5</v>
      </c>
      <c r="H21" s="22">
        <v>5</v>
      </c>
      <c r="I21" s="23">
        <f t="shared" si="3"/>
        <v>5</v>
      </c>
      <c r="J21" s="16">
        <v>4</v>
      </c>
      <c r="K21" s="17">
        <f t="shared" si="4"/>
        <v>6</v>
      </c>
      <c r="N21" s="16">
        <f t="shared" si="5"/>
        <v>1</v>
      </c>
      <c r="O21" s="27">
        <f t="shared" si="6"/>
        <v>0.7</v>
      </c>
      <c r="P21" s="43">
        <f t="shared" si="7"/>
        <v>0.5</v>
      </c>
      <c r="Q21" s="27">
        <f t="shared" si="8"/>
        <v>0.5</v>
      </c>
      <c r="R21" s="17">
        <f t="shared" si="9"/>
        <v>0.4</v>
      </c>
    </row>
    <row r="22" spans="2:18" x14ac:dyDescent="0.2">
      <c r="B22" s="16">
        <v>10</v>
      </c>
      <c r="C22" s="17">
        <f t="shared" si="0"/>
        <v>0</v>
      </c>
      <c r="D22" s="22">
        <v>9</v>
      </c>
      <c r="E22" s="23">
        <f t="shared" si="1"/>
        <v>1</v>
      </c>
      <c r="F22" s="16">
        <v>7</v>
      </c>
      <c r="G22" s="17">
        <f t="shared" si="2"/>
        <v>3</v>
      </c>
      <c r="H22" s="22">
        <v>7</v>
      </c>
      <c r="I22" s="23">
        <f t="shared" si="3"/>
        <v>3</v>
      </c>
      <c r="J22" s="16">
        <v>3</v>
      </c>
      <c r="K22" s="17">
        <f t="shared" si="4"/>
        <v>7</v>
      </c>
      <c r="N22" s="16">
        <f t="shared" si="5"/>
        <v>1</v>
      </c>
      <c r="O22" s="27">
        <f t="shared" si="6"/>
        <v>0.9</v>
      </c>
      <c r="P22" s="43">
        <f t="shared" si="7"/>
        <v>0.7</v>
      </c>
      <c r="Q22" s="27">
        <f t="shared" si="8"/>
        <v>0.7</v>
      </c>
      <c r="R22" s="17">
        <f t="shared" si="9"/>
        <v>0.3</v>
      </c>
    </row>
    <row r="23" spans="2:18" x14ac:dyDescent="0.2">
      <c r="B23" s="16">
        <v>9</v>
      </c>
      <c r="C23" s="17">
        <f t="shared" si="0"/>
        <v>1</v>
      </c>
      <c r="D23" s="22">
        <v>8</v>
      </c>
      <c r="E23" s="23">
        <f t="shared" si="1"/>
        <v>2</v>
      </c>
      <c r="F23" s="16">
        <v>7</v>
      </c>
      <c r="G23" s="17">
        <f t="shared" si="2"/>
        <v>3</v>
      </c>
      <c r="H23" s="22">
        <v>5</v>
      </c>
      <c r="I23" s="23">
        <f t="shared" si="3"/>
        <v>5</v>
      </c>
      <c r="J23" s="16">
        <v>4</v>
      </c>
      <c r="K23" s="17">
        <f t="shared" si="4"/>
        <v>6</v>
      </c>
      <c r="N23" s="16">
        <f t="shared" si="5"/>
        <v>0.9</v>
      </c>
      <c r="O23" s="27">
        <f t="shared" si="6"/>
        <v>0.8</v>
      </c>
      <c r="P23" s="43">
        <f t="shared" si="7"/>
        <v>0.7</v>
      </c>
      <c r="Q23" s="27">
        <f t="shared" si="8"/>
        <v>0.5</v>
      </c>
      <c r="R23" s="17">
        <f t="shared" si="9"/>
        <v>0.4</v>
      </c>
    </row>
    <row r="24" spans="2:18" x14ac:dyDescent="0.2">
      <c r="B24" s="16">
        <v>10</v>
      </c>
      <c r="C24" s="17">
        <f t="shared" si="0"/>
        <v>0</v>
      </c>
      <c r="D24" s="22">
        <v>8</v>
      </c>
      <c r="E24" s="23">
        <f t="shared" si="1"/>
        <v>2</v>
      </c>
      <c r="F24" s="16">
        <v>8</v>
      </c>
      <c r="G24" s="17">
        <f t="shared" si="2"/>
        <v>2</v>
      </c>
      <c r="H24" s="22">
        <v>5</v>
      </c>
      <c r="I24" s="23">
        <f t="shared" si="3"/>
        <v>5</v>
      </c>
      <c r="J24" s="16">
        <v>3</v>
      </c>
      <c r="K24" s="17">
        <f t="shared" si="4"/>
        <v>7</v>
      </c>
      <c r="N24" s="16">
        <f t="shared" si="5"/>
        <v>1</v>
      </c>
      <c r="O24" s="27">
        <f t="shared" si="6"/>
        <v>0.8</v>
      </c>
      <c r="P24" s="43">
        <f t="shared" si="7"/>
        <v>0.8</v>
      </c>
      <c r="Q24" s="27">
        <f t="shared" si="8"/>
        <v>0.5</v>
      </c>
      <c r="R24" s="17">
        <f t="shared" si="9"/>
        <v>0.3</v>
      </c>
    </row>
    <row r="25" spans="2:18" x14ac:dyDescent="0.2">
      <c r="B25" s="16">
        <v>10</v>
      </c>
      <c r="C25" s="17">
        <f t="shared" si="0"/>
        <v>0</v>
      </c>
      <c r="D25" s="22">
        <v>9</v>
      </c>
      <c r="E25" s="23">
        <f t="shared" si="1"/>
        <v>1</v>
      </c>
      <c r="F25" s="16">
        <v>10</v>
      </c>
      <c r="G25" s="17">
        <f t="shared" si="2"/>
        <v>0</v>
      </c>
      <c r="H25" s="22">
        <v>8</v>
      </c>
      <c r="I25" s="23">
        <f t="shared" si="3"/>
        <v>2</v>
      </c>
      <c r="J25" s="16">
        <v>2</v>
      </c>
      <c r="K25" s="17">
        <f t="shared" si="4"/>
        <v>8</v>
      </c>
      <c r="N25" s="16">
        <f t="shared" si="5"/>
        <v>1</v>
      </c>
      <c r="O25" s="27">
        <f t="shared" si="6"/>
        <v>0.9</v>
      </c>
      <c r="P25" s="43">
        <f t="shared" si="7"/>
        <v>1</v>
      </c>
      <c r="Q25" s="27">
        <f t="shared" si="8"/>
        <v>0.8</v>
      </c>
      <c r="R25" s="17">
        <f t="shared" si="9"/>
        <v>0.2</v>
      </c>
    </row>
    <row r="26" spans="2:18" ht="17" thickBot="1" x14ac:dyDescent="0.25">
      <c r="B26" s="18">
        <v>10</v>
      </c>
      <c r="C26" s="19">
        <f t="shared" si="0"/>
        <v>0</v>
      </c>
      <c r="D26" s="24">
        <v>10</v>
      </c>
      <c r="E26" s="25">
        <f t="shared" si="1"/>
        <v>0</v>
      </c>
      <c r="F26" s="18">
        <v>8</v>
      </c>
      <c r="G26" s="19">
        <f t="shared" si="2"/>
        <v>2</v>
      </c>
      <c r="H26" s="24">
        <v>4</v>
      </c>
      <c r="I26" s="25">
        <f t="shared" si="3"/>
        <v>6</v>
      </c>
      <c r="J26" s="18">
        <v>4</v>
      </c>
      <c r="K26" s="19">
        <f t="shared" si="4"/>
        <v>6</v>
      </c>
      <c r="N26" s="18">
        <f t="shared" si="5"/>
        <v>1</v>
      </c>
      <c r="O26" s="28">
        <f t="shared" si="6"/>
        <v>1</v>
      </c>
      <c r="P26" s="44">
        <f t="shared" si="7"/>
        <v>0.8</v>
      </c>
      <c r="Q26" s="28">
        <f t="shared" si="8"/>
        <v>0.4</v>
      </c>
      <c r="R26" s="19">
        <f t="shared" si="9"/>
        <v>0.4</v>
      </c>
    </row>
    <row r="27" spans="2:18" x14ac:dyDescent="0.2">
      <c r="M27" s="45" t="s">
        <v>4</v>
      </c>
      <c r="N27" s="50">
        <f>AVERAGE(N7:N26)</f>
        <v>0.95500000000000007</v>
      </c>
      <c r="O27" s="51">
        <f t="shared" ref="O27:R27" si="10">AVERAGE(O7:O26)</f>
        <v>0.88000000000000012</v>
      </c>
      <c r="P27" s="52">
        <f t="shared" si="10"/>
        <v>0.76500000000000001</v>
      </c>
      <c r="Q27" s="51">
        <f t="shared" si="10"/>
        <v>0.57999999999999996</v>
      </c>
      <c r="R27" s="53">
        <f t="shared" si="10"/>
        <v>0.29000000000000004</v>
      </c>
    </row>
    <row r="28" spans="2:18" x14ac:dyDescent="0.2">
      <c r="M28" s="45" t="s">
        <v>18</v>
      </c>
      <c r="N28" s="16">
        <f>STDEVA(N7:N26)</f>
        <v>7.5915465451624822E-2</v>
      </c>
      <c r="O28" s="27">
        <f t="shared" ref="O28:R28" si="11">STDEVA(O7:O26)</f>
        <v>9.5145318218751537E-2</v>
      </c>
      <c r="P28" s="43">
        <f t="shared" si="11"/>
        <v>0.16311119875071364</v>
      </c>
      <c r="Q28" s="27">
        <f t="shared" si="11"/>
        <v>0.11050125029061676</v>
      </c>
      <c r="R28" s="17">
        <f t="shared" si="11"/>
        <v>9.6790604154698701E-2</v>
      </c>
    </row>
    <row r="29" spans="2:18" x14ac:dyDescent="0.2">
      <c r="M29" s="45" t="s">
        <v>8</v>
      </c>
      <c r="N29" s="16">
        <f>COUNT(N7:N26)</f>
        <v>20</v>
      </c>
      <c r="O29" s="27">
        <f t="shared" ref="O29:R29" si="12">COUNT(O7:O26)</f>
        <v>20</v>
      </c>
      <c r="P29" s="43">
        <f t="shared" si="12"/>
        <v>20</v>
      </c>
      <c r="Q29" s="27">
        <f t="shared" si="12"/>
        <v>20</v>
      </c>
      <c r="R29" s="17">
        <f t="shared" si="12"/>
        <v>20</v>
      </c>
    </row>
    <row r="30" spans="2:18" ht="17" thickBot="1" x14ac:dyDescent="0.25">
      <c r="M30" s="45" t="s">
        <v>9</v>
      </c>
      <c r="N30" s="46">
        <f>N28/SQRT(N29)</f>
        <v>1.6975214129336988E-2</v>
      </c>
      <c r="O30" s="47">
        <f t="shared" ref="O30:R30" si="13">O28/SQRT(O29)</f>
        <v>2.1275139927797764E-2</v>
      </c>
      <c r="P30" s="48">
        <f t="shared" si="13"/>
        <v>3.6472772829807446E-2</v>
      </c>
      <c r="Q30" s="47">
        <f t="shared" si="13"/>
        <v>2.4708830724853748E-2</v>
      </c>
      <c r="R30" s="49">
        <f t="shared" si="13"/>
        <v>2.1643037047317987E-2</v>
      </c>
    </row>
  </sheetData>
  <mergeCells count="8">
    <mergeCell ref="N5:R5"/>
    <mergeCell ref="N4:R4"/>
    <mergeCell ref="B5:C5"/>
    <mergeCell ref="D5:E5"/>
    <mergeCell ref="F5:G5"/>
    <mergeCell ref="H5:I5"/>
    <mergeCell ref="J5:K5"/>
    <mergeCell ref="B4:K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74A9C-E2BB-CA45-A541-FF5D868780BF}">
  <dimension ref="A1:R30"/>
  <sheetViews>
    <sheetView zoomScaleNormal="100" workbookViewId="0">
      <selection activeCell="O34" sqref="O34"/>
    </sheetView>
  </sheetViews>
  <sheetFormatPr baseColWidth="10" defaultRowHeight="16" x14ac:dyDescent="0.2"/>
  <sheetData>
    <row r="1" spans="1:18" ht="29" x14ac:dyDescent="0.35">
      <c r="A1" s="54" t="s">
        <v>15</v>
      </c>
    </row>
    <row r="2" spans="1:18" ht="17" thickBot="1" x14ac:dyDescent="0.25"/>
    <row r="3" spans="1:18" ht="17" thickBot="1" x14ac:dyDescent="0.25">
      <c r="B3" t="s">
        <v>11</v>
      </c>
      <c r="C3" s="35">
        <v>10</v>
      </c>
    </row>
    <row r="4" spans="1:18" ht="25" thickBot="1" x14ac:dyDescent="0.35">
      <c r="B4" s="7" t="s">
        <v>12</v>
      </c>
      <c r="C4" s="8"/>
      <c r="D4" s="8"/>
      <c r="E4" s="8"/>
      <c r="F4" s="8"/>
      <c r="G4" s="8"/>
      <c r="H4" s="8"/>
      <c r="I4" s="8"/>
      <c r="J4" s="8"/>
      <c r="K4" s="9"/>
      <c r="N4" s="39" t="s">
        <v>17</v>
      </c>
      <c r="O4" s="40"/>
      <c r="P4" s="40"/>
      <c r="Q4" s="40"/>
      <c r="R4" s="41"/>
    </row>
    <row r="5" spans="1:18" ht="23" thickBot="1" x14ac:dyDescent="0.25">
      <c r="B5" s="10">
        <v>25</v>
      </c>
      <c r="C5" s="11"/>
      <c r="D5" s="10">
        <v>36</v>
      </c>
      <c r="E5" s="11"/>
      <c r="F5" s="10">
        <v>38</v>
      </c>
      <c r="G5" s="11"/>
      <c r="H5" s="10">
        <v>40</v>
      </c>
      <c r="I5" s="11"/>
      <c r="J5" s="10">
        <v>42</v>
      </c>
      <c r="K5" s="11"/>
      <c r="N5" s="37" t="s">
        <v>12</v>
      </c>
      <c r="O5" s="38"/>
      <c r="P5" s="38"/>
      <c r="Q5" s="38"/>
      <c r="R5" s="38"/>
    </row>
    <row r="6" spans="1:18" ht="20" thickBot="1" x14ac:dyDescent="0.25">
      <c r="B6" s="4" t="s">
        <v>10</v>
      </c>
      <c r="C6" s="5" t="s">
        <v>16</v>
      </c>
      <c r="D6" s="12" t="s">
        <v>10</v>
      </c>
      <c r="E6" s="13" t="s">
        <v>16</v>
      </c>
      <c r="F6" s="5" t="s">
        <v>10</v>
      </c>
      <c r="G6" s="5" t="s">
        <v>16</v>
      </c>
      <c r="H6" s="12" t="s">
        <v>10</v>
      </c>
      <c r="I6" s="13" t="s">
        <v>16</v>
      </c>
      <c r="J6" s="5" t="s">
        <v>10</v>
      </c>
      <c r="K6" s="6" t="s">
        <v>16</v>
      </c>
      <c r="N6" s="36">
        <v>25</v>
      </c>
      <c r="O6" s="36">
        <v>36</v>
      </c>
      <c r="P6" s="36">
        <v>38</v>
      </c>
      <c r="Q6" s="36">
        <v>40</v>
      </c>
      <c r="R6" s="36">
        <v>42</v>
      </c>
    </row>
    <row r="7" spans="1:18" x14ac:dyDescent="0.2">
      <c r="B7" s="14">
        <v>10</v>
      </c>
      <c r="C7" s="42">
        <f>$C$3-B7</f>
        <v>0</v>
      </c>
      <c r="D7" s="20">
        <v>8</v>
      </c>
      <c r="E7" s="21">
        <f>$C$3-D7</f>
        <v>2</v>
      </c>
      <c r="F7" s="42">
        <v>10</v>
      </c>
      <c r="G7" s="42">
        <f>$C$3-F7</f>
        <v>0</v>
      </c>
      <c r="H7" s="20">
        <v>8</v>
      </c>
      <c r="I7" s="21">
        <f>$C$3-H7</f>
        <v>2</v>
      </c>
      <c r="J7" s="42">
        <v>5</v>
      </c>
      <c r="K7" s="15">
        <f>$C$3-J7</f>
        <v>5</v>
      </c>
      <c r="N7" s="14">
        <f>B7/$C$3</f>
        <v>1</v>
      </c>
      <c r="O7" s="26">
        <f>D7/$C$3</f>
        <v>0.8</v>
      </c>
      <c r="P7" s="42">
        <f>F7/$C$3</f>
        <v>1</v>
      </c>
      <c r="Q7" s="26">
        <f>H7/$C$3</f>
        <v>0.8</v>
      </c>
      <c r="R7" s="15">
        <f>J7/$C$3</f>
        <v>0.5</v>
      </c>
    </row>
    <row r="8" spans="1:18" x14ac:dyDescent="0.2">
      <c r="B8" s="16">
        <v>10</v>
      </c>
      <c r="C8" s="43">
        <f t="shared" ref="C8:C26" si="0">$C$3-B8</f>
        <v>0</v>
      </c>
      <c r="D8" s="22">
        <v>10</v>
      </c>
      <c r="E8" s="23">
        <f t="shared" ref="E8:E26" si="1">$C$3-D8</f>
        <v>0</v>
      </c>
      <c r="F8" s="43">
        <v>6</v>
      </c>
      <c r="G8" s="43">
        <f t="shared" ref="G8:G26" si="2">$C$3-F8</f>
        <v>4</v>
      </c>
      <c r="H8" s="22">
        <v>7</v>
      </c>
      <c r="I8" s="23">
        <f t="shared" ref="I8:I26" si="3">$C$3-H8</f>
        <v>3</v>
      </c>
      <c r="J8" s="43">
        <v>5</v>
      </c>
      <c r="K8" s="17">
        <f t="shared" ref="K8:K26" si="4">$C$3-J8</f>
        <v>5</v>
      </c>
      <c r="N8" s="16">
        <f t="shared" ref="N8:N26" si="5">B8/$C$3</f>
        <v>1</v>
      </c>
      <c r="O8" s="27">
        <f t="shared" ref="O8:O26" si="6">D8/$C$3</f>
        <v>1</v>
      </c>
      <c r="P8" s="43">
        <f t="shared" ref="P8:P26" si="7">F8/$C$3</f>
        <v>0.6</v>
      </c>
      <c r="Q8" s="27">
        <f t="shared" ref="Q8:Q26" si="8">H8/$C$3</f>
        <v>0.7</v>
      </c>
      <c r="R8" s="17">
        <f t="shared" ref="R8:R26" si="9">J8/$C$3</f>
        <v>0.5</v>
      </c>
    </row>
    <row r="9" spans="1:18" x14ac:dyDescent="0.2">
      <c r="B9" s="16">
        <v>10</v>
      </c>
      <c r="C9" s="43">
        <f t="shared" si="0"/>
        <v>0</v>
      </c>
      <c r="D9" s="22">
        <v>8</v>
      </c>
      <c r="E9" s="23">
        <f t="shared" si="1"/>
        <v>2</v>
      </c>
      <c r="F9" s="43">
        <v>9</v>
      </c>
      <c r="G9" s="43">
        <f t="shared" si="2"/>
        <v>1</v>
      </c>
      <c r="H9" s="22">
        <v>6</v>
      </c>
      <c r="I9" s="23">
        <f t="shared" si="3"/>
        <v>4</v>
      </c>
      <c r="J9" s="43">
        <v>4</v>
      </c>
      <c r="K9" s="17">
        <f t="shared" si="4"/>
        <v>6</v>
      </c>
      <c r="N9" s="16">
        <f t="shared" si="5"/>
        <v>1</v>
      </c>
      <c r="O9" s="27">
        <f t="shared" si="6"/>
        <v>0.8</v>
      </c>
      <c r="P9" s="43">
        <f t="shared" si="7"/>
        <v>0.9</v>
      </c>
      <c r="Q9" s="27">
        <f t="shared" si="8"/>
        <v>0.6</v>
      </c>
      <c r="R9" s="17">
        <f t="shared" si="9"/>
        <v>0.4</v>
      </c>
    </row>
    <row r="10" spans="1:18" x14ac:dyDescent="0.2">
      <c r="B10" s="16">
        <v>10</v>
      </c>
      <c r="C10" s="43">
        <f t="shared" si="0"/>
        <v>0</v>
      </c>
      <c r="D10" s="22">
        <v>9</v>
      </c>
      <c r="E10" s="23">
        <f t="shared" si="1"/>
        <v>1</v>
      </c>
      <c r="F10" s="43">
        <v>10</v>
      </c>
      <c r="G10" s="43">
        <f t="shared" si="2"/>
        <v>0</v>
      </c>
      <c r="H10" s="22">
        <v>8</v>
      </c>
      <c r="I10" s="23">
        <f t="shared" si="3"/>
        <v>2</v>
      </c>
      <c r="J10" s="43">
        <v>4</v>
      </c>
      <c r="K10" s="17">
        <f t="shared" si="4"/>
        <v>6</v>
      </c>
      <c r="N10" s="16">
        <f t="shared" si="5"/>
        <v>1</v>
      </c>
      <c r="O10" s="27">
        <f t="shared" si="6"/>
        <v>0.9</v>
      </c>
      <c r="P10" s="43">
        <f t="shared" si="7"/>
        <v>1</v>
      </c>
      <c r="Q10" s="27">
        <f t="shared" si="8"/>
        <v>0.8</v>
      </c>
      <c r="R10" s="17">
        <f t="shared" si="9"/>
        <v>0.4</v>
      </c>
    </row>
    <row r="11" spans="1:18" x14ac:dyDescent="0.2">
      <c r="B11" s="16">
        <v>10</v>
      </c>
      <c r="C11" s="43">
        <f t="shared" si="0"/>
        <v>0</v>
      </c>
      <c r="D11" s="22">
        <v>10</v>
      </c>
      <c r="E11" s="23">
        <f t="shared" si="1"/>
        <v>0</v>
      </c>
      <c r="F11" s="43">
        <v>8</v>
      </c>
      <c r="G11" s="43">
        <f t="shared" si="2"/>
        <v>2</v>
      </c>
      <c r="H11" s="22">
        <v>7</v>
      </c>
      <c r="I11" s="23">
        <f t="shared" si="3"/>
        <v>3</v>
      </c>
      <c r="J11" s="43">
        <v>4</v>
      </c>
      <c r="K11" s="17">
        <f t="shared" si="4"/>
        <v>6</v>
      </c>
      <c r="N11" s="16">
        <f t="shared" si="5"/>
        <v>1</v>
      </c>
      <c r="O11" s="27">
        <f t="shared" si="6"/>
        <v>1</v>
      </c>
      <c r="P11" s="43">
        <f t="shared" si="7"/>
        <v>0.8</v>
      </c>
      <c r="Q11" s="27">
        <f t="shared" si="8"/>
        <v>0.7</v>
      </c>
      <c r="R11" s="17">
        <f t="shared" si="9"/>
        <v>0.4</v>
      </c>
    </row>
    <row r="12" spans="1:18" x14ac:dyDescent="0.2">
      <c r="B12" s="16">
        <v>10</v>
      </c>
      <c r="C12" s="43">
        <f t="shared" si="0"/>
        <v>0</v>
      </c>
      <c r="D12" s="22">
        <v>10</v>
      </c>
      <c r="E12" s="23">
        <f t="shared" si="1"/>
        <v>0</v>
      </c>
      <c r="F12" s="43">
        <v>9</v>
      </c>
      <c r="G12" s="43">
        <f t="shared" si="2"/>
        <v>1</v>
      </c>
      <c r="H12" s="22">
        <v>8</v>
      </c>
      <c r="I12" s="23">
        <f t="shared" si="3"/>
        <v>2</v>
      </c>
      <c r="J12" s="43">
        <v>6</v>
      </c>
      <c r="K12" s="17">
        <f t="shared" si="4"/>
        <v>4</v>
      </c>
      <c r="N12" s="16">
        <f t="shared" si="5"/>
        <v>1</v>
      </c>
      <c r="O12" s="27">
        <f t="shared" si="6"/>
        <v>1</v>
      </c>
      <c r="P12" s="43">
        <f t="shared" si="7"/>
        <v>0.9</v>
      </c>
      <c r="Q12" s="27">
        <f t="shared" si="8"/>
        <v>0.8</v>
      </c>
      <c r="R12" s="17">
        <f t="shared" si="9"/>
        <v>0.6</v>
      </c>
    </row>
    <row r="13" spans="1:18" x14ac:dyDescent="0.2">
      <c r="B13" s="16">
        <v>9</v>
      </c>
      <c r="C13" s="43">
        <f t="shared" si="0"/>
        <v>1</v>
      </c>
      <c r="D13" s="22">
        <v>9</v>
      </c>
      <c r="E13" s="23">
        <f t="shared" si="1"/>
        <v>1</v>
      </c>
      <c r="F13" s="43">
        <v>8</v>
      </c>
      <c r="G13" s="43">
        <f t="shared" si="2"/>
        <v>2</v>
      </c>
      <c r="H13" s="22">
        <v>8</v>
      </c>
      <c r="I13" s="23">
        <f t="shared" si="3"/>
        <v>2</v>
      </c>
      <c r="J13" s="43">
        <v>5</v>
      </c>
      <c r="K13" s="17">
        <f t="shared" si="4"/>
        <v>5</v>
      </c>
      <c r="N13" s="16">
        <f t="shared" si="5"/>
        <v>0.9</v>
      </c>
      <c r="O13" s="27">
        <f t="shared" si="6"/>
        <v>0.9</v>
      </c>
      <c r="P13" s="43">
        <f t="shared" si="7"/>
        <v>0.8</v>
      </c>
      <c r="Q13" s="27">
        <f t="shared" si="8"/>
        <v>0.8</v>
      </c>
      <c r="R13" s="17">
        <f t="shared" si="9"/>
        <v>0.5</v>
      </c>
    </row>
    <row r="14" spans="1:18" x14ac:dyDescent="0.2">
      <c r="B14" s="16">
        <v>10</v>
      </c>
      <c r="C14" s="43">
        <f t="shared" si="0"/>
        <v>0</v>
      </c>
      <c r="D14" s="22">
        <v>10</v>
      </c>
      <c r="E14" s="23">
        <f t="shared" si="1"/>
        <v>0</v>
      </c>
      <c r="F14" s="43">
        <v>9</v>
      </c>
      <c r="G14" s="43">
        <f t="shared" si="2"/>
        <v>1</v>
      </c>
      <c r="H14" s="22">
        <v>9</v>
      </c>
      <c r="I14" s="23">
        <f t="shared" si="3"/>
        <v>1</v>
      </c>
      <c r="J14" s="43">
        <v>5</v>
      </c>
      <c r="K14" s="17">
        <f t="shared" si="4"/>
        <v>5</v>
      </c>
      <c r="N14" s="16">
        <f t="shared" si="5"/>
        <v>1</v>
      </c>
      <c r="O14" s="27">
        <f t="shared" si="6"/>
        <v>1</v>
      </c>
      <c r="P14" s="43">
        <f t="shared" si="7"/>
        <v>0.9</v>
      </c>
      <c r="Q14" s="27">
        <f t="shared" si="8"/>
        <v>0.9</v>
      </c>
      <c r="R14" s="17">
        <f t="shared" si="9"/>
        <v>0.5</v>
      </c>
    </row>
    <row r="15" spans="1:18" x14ac:dyDescent="0.2">
      <c r="B15" s="16">
        <v>10</v>
      </c>
      <c r="C15" s="43">
        <f t="shared" si="0"/>
        <v>0</v>
      </c>
      <c r="D15" s="22">
        <v>10</v>
      </c>
      <c r="E15" s="23">
        <f t="shared" si="1"/>
        <v>0</v>
      </c>
      <c r="F15" s="43">
        <v>8</v>
      </c>
      <c r="G15" s="43">
        <f t="shared" si="2"/>
        <v>2</v>
      </c>
      <c r="H15" s="22">
        <v>7</v>
      </c>
      <c r="I15" s="23">
        <f t="shared" si="3"/>
        <v>3</v>
      </c>
      <c r="J15" s="43">
        <v>6</v>
      </c>
      <c r="K15" s="17">
        <f t="shared" si="4"/>
        <v>4</v>
      </c>
      <c r="N15" s="16">
        <f t="shared" si="5"/>
        <v>1</v>
      </c>
      <c r="O15" s="27">
        <f t="shared" si="6"/>
        <v>1</v>
      </c>
      <c r="P15" s="43">
        <f t="shared" si="7"/>
        <v>0.8</v>
      </c>
      <c r="Q15" s="27">
        <f t="shared" si="8"/>
        <v>0.7</v>
      </c>
      <c r="R15" s="17">
        <f t="shared" si="9"/>
        <v>0.6</v>
      </c>
    </row>
    <row r="16" spans="1:18" x14ac:dyDescent="0.2">
      <c r="B16" s="16">
        <v>10</v>
      </c>
      <c r="C16" s="43">
        <f t="shared" si="0"/>
        <v>0</v>
      </c>
      <c r="D16" s="22">
        <v>9</v>
      </c>
      <c r="E16" s="23">
        <f t="shared" si="1"/>
        <v>1</v>
      </c>
      <c r="F16" s="43">
        <v>7</v>
      </c>
      <c r="G16" s="43">
        <f t="shared" si="2"/>
        <v>3</v>
      </c>
      <c r="H16" s="22">
        <v>5</v>
      </c>
      <c r="I16" s="23">
        <f t="shared" si="3"/>
        <v>5</v>
      </c>
      <c r="J16" s="43">
        <v>5</v>
      </c>
      <c r="K16" s="17">
        <f t="shared" si="4"/>
        <v>5</v>
      </c>
      <c r="N16" s="16">
        <f t="shared" si="5"/>
        <v>1</v>
      </c>
      <c r="O16" s="27">
        <f t="shared" si="6"/>
        <v>0.9</v>
      </c>
      <c r="P16" s="43">
        <f t="shared" si="7"/>
        <v>0.7</v>
      </c>
      <c r="Q16" s="27">
        <f t="shared" si="8"/>
        <v>0.5</v>
      </c>
      <c r="R16" s="17">
        <f t="shared" si="9"/>
        <v>0.5</v>
      </c>
    </row>
    <row r="17" spans="2:18" x14ac:dyDescent="0.2">
      <c r="B17" s="16">
        <v>10</v>
      </c>
      <c r="C17" s="43">
        <f t="shared" si="0"/>
        <v>0</v>
      </c>
      <c r="D17" s="22">
        <v>10</v>
      </c>
      <c r="E17" s="23">
        <f t="shared" si="1"/>
        <v>0</v>
      </c>
      <c r="F17" s="43">
        <v>9</v>
      </c>
      <c r="G17" s="43">
        <f t="shared" si="2"/>
        <v>1</v>
      </c>
      <c r="H17" s="22">
        <v>8</v>
      </c>
      <c r="I17" s="23">
        <f t="shared" si="3"/>
        <v>2</v>
      </c>
      <c r="J17" s="43">
        <v>6</v>
      </c>
      <c r="K17" s="17">
        <f t="shared" si="4"/>
        <v>4</v>
      </c>
      <c r="N17" s="16">
        <f t="shared" si="5"/>
        <v>1</v>
      </c>
      <c r="O17" s="27">
        <f t="shared" si="6"/>
        <v>1</v>
      </c>
      <c r="P17" s="43">
        <f t="shared" si="7"/>
        <v>0.9</v>
      </c>
      <c r="Q17" s="27">
        <f t="shared" si="8"/>
        <v>0.8</v>
      </c>
      <c r="R17" s="17">
        <f t="shared" si="9"/>
        <v>0.6</v>
      </c>
    </row>
    <row r="18" spans="2:18" x14ac:dyDescent="0.2">
      <c r="B18" s="16">
        <v>10</v>
      </c>
      <c r="C18" s="43">
        <f t="shared" si="0"/>
        <v>0</v>
      </c>
      <c r="D18" s="22">
        <v>10</v>
      </c>
      <c r="E18" s="23">
        <f t="shared" si="1"/>
        <v>0</v>
      </c>
      <c r="F18" s="43">
        <v>9</v>
      </c>
      <c r="G18" s="43">
        <f t="shared" si="2"/>
        <v>1</v>
      </c>
      <c r="H18" s="22">
        <v>8</v>
      </c>
      <c r="I18" s="23">
        <f t="shared" si="3"/>
        <v>2</v>
      </c>
      <c r="J18" s="43">
        <v>8</v>
      </c>
      <c r="K18" s="17">
        <f t="shared" si="4"/>
        <v>2</v>
      </c>
      <c r="N18" s="16">
        <f t="shared" si="5"/>
        <v>1</v>
      </c>
      <c r="O18" s="27">
        <f t="shared" si="6"/>
        <v>1</v>
      </c>
      <c r="P18" s="43">
        <f t="shared" si="7"/>
        <v>0.9</v>
      </c>
      <c r="Q18" s="27">
        <f t="shared" si="8"/>
        <v>0.8</v>
      </c>
      <c r="R18" s="17">
        <f t="shared" si="9"/>
        <v>0.8</v>
      </c>
    </row>
    <row r="19" spans="2:18" x14ac:dyDescent="0.2">
      <c r="B19" s="16">
        <v>9</v>
      </c>
      <c r="C19" s="43">
        <f t="shared" si="0"/>
        <v>1</v>
      </c>
      <c r="D19" s="22">
        <v>9</v>
      </c>
      <c r="E19" s="23">
        <f t="shared" si="1"/>
        <v>1</v>
      </c>
      <c r="F19" s="43">
        <v>10</v>
      </c>
      <c r="G19" s="43">
        <f t="shared" si="2"/>
        <v>0</v>
      </c>
      <c r="H19" s="22">
        <v>8</v>
      </c>
      <c r="I19" s="23">
        <f t="shared" si="3"/>
        <v>2</v>
      </c>
      <c r="J19" s="43">
        <v>5</v>
      </c>
      <c r="K19" s="17">
        <f t="shared" si="4"/>
        <v>5</v>
      </c>
      <c r="N19" s="16">
        <f t="shared" si="5"/>
        <v>0.9</v>
      </c>
      <c r="O19" s="27">
        <f t="shared" si="6"/>
        <v>0.9</v>
      </c>
      <c r="P19" s="43">
        <f t="shared" si="7"/>
        <v>1</v>
      </c>
      <c r="Q19" s="27">
        <f t="shared" si="8"/>
        <v>0.8</v>
      </c>
      <c r="R19" s="17">
        <f t="shared" si="9"/>
        <v>0.5</v>
      </c>
    </row>
    <row r="20" spans="2:18" x14ac:dyDescent="0.2">
      <c r="B20" s="16">
        <v>10</v>
      </c>
      <c r="C20" s="43">
        <f t="shared" si="0"/>
        <v>0</v>
      </c>
      <c r="D20" s="22">
        <v>10</v>
      </c>
      <c r="E20" s="23">
        <f t="shared" si="1"/>
        <v>0</v>
      </c>
      <c r="F20" s="43">
        <v>8</v>
      </c>
      <c r="G20" s="43">
        <f t="shared" si="2"/>
        <v>2</v>
      </c>
      <c r="H20" s="22">
        <v>9</v>
      </c>
      <c r="I20" s="23">
        <f t="shared" si="3"/>
        <v>1</v>
      </c>
      <c r="J20" s="43">
        <v>4</v>
      </c>
      <c r="K20" s="17">
        <f t="shared" si="4"/>
        <v>6</v>
      </c>
      <c r="N20" s="16">
        <f t="shared" si="5"/>
        <v>1</v>
      </c>
      <c r="O20" s="27">
        <f t="shared" si="6"/>
        <v>1</v>
      </c>
      <c r="P20" s="43">
        <f t="shared" si="7"/>
        <v>0.8</v>
      </c>
      <c r="Q20" s="27">
        <f t="shared" si="8"/>
        <v>0.9</v>
      </c>
      <c r="R20" s="17">
        <f t="shared" si="9"/>
        <v>0.4</v>
      </c>
    </row>
    <row r="21" spans="2:18" x14ac:dyDescent="0.2">
      <c r="B21" s="16">
        <v>9</v>
      </c>
      <c r="C21" s="43">
        <f t="shared" si="0"/>
        <v>1</v>
      </c>
      <c r="D21" s="22">
        <v>10</v>
      </c>
      <c r="E21" s="23">
        <f t="shared" si="1"/>
        <v>0</v>
      </c>
      <c r="F21" s="43">
        <v>8</v>
      </c>
      <c r="G21" s="43">
        <f t="shared" si="2"/>
        <v>2</v>
      </c>
      <c r="H21" s="22">
        <v>7</v>
      </c>
      <c r="I21" s="23">
        <f t="shared" si="3"/>
        <v>3</v>
      </c>
      <c r="J21" s="43">
        <v>3</v>
      </c>
      <c r="K21" s="17">
        <f t="shared" si="4"/>
        <v>7</v>
      </c>
      <c r="N21" s="16">
        <f t="shared" si="5"/>
        <v>0.9</v>
      </c>
      <c r="O21" s="27">
        <f t="shared" si="6"/>
        <v>1</v>
      </c>
      <c r="P21" s="43">
        <f t="shared" si="7"/>
        <v>0.8</v>
      </c>
      <c r="Q21" s="27">
        <f t="shared" si="8"/>
        <v>0.7</v>
      </c>
      <c r="R21" s="17">
        <f t="shared" si="9"/>
        <v>0.3</v>
      </c>
    </row>
    <row r="22" spans="2:18" x14ac:dyDescent="0.2">
      <c r="B22" s="16">
        <v>10</v>
      </c>
      <c r="C22" s="43">
        <f t="shared" si="0"/>
        <v>0</v>
      </c>
      <c r="D22" s="22">
        <v>10</v>
      </c>
      <c r="E22" s="23">
        <f t="shared" si="1"/>
        <v>0</v>
      </c>
      <c r="F22" s="43">
        <v>7</v>
      </c>
      <c r="G22" s="43">
        <f t="shared" si="2"/>
        <v>3</v>
      </c>
      <c r="H22" s="22">
        <v>9</v>
      </c>
      <c r="I22" s="23">
        <f t="shared" si="3"/>
        <v>1</v>
      </c>
      <c r="J22" s="43">
        <v>7</v>
      </c>
      <c r="K22" s="17">
        <f t="shared" si="4"/>
        <v>3</v>
      </c>
      <c r="N22" s="16">
        <f t="shared" si="5"/>
        <v>1</v>
      </c>
      <c r="O22" s="27">
        <f t="shared" si="6"/>
        <v>1</v>
      </c>
      <c r="P22" s="43">
        <f t="shared" si="7"/>
        <v>0.7</v>
      </c>
      <c r="Q22" s="27">
        <f t="shared" si="8"/>
        <v>0.9</v>
      </c>
      <c r="R22" s="17">
        <f t="shared" si="9"/>
        <v>0.7</v>
      </c>
    </row>
    <row r="23" spans="2:18" x14ac:dyDescent="0.2">
      <c r="B23" s="16">
        <v>10</v>
      </c>
      <c r="C23" s="43">
        <f t="shared" si="0"/>
        <v>0</v>
      </c>
      <c r="D23" s="22">
        <v>8</v>
      </c>
      <c r="E23" s="23">
        <f t="shared" si="1"/>
        <v>2</v>
      </c>
      <c r="F23" s="43">
        <v>7</v>
      </c>
      <c r="G23" s="43">
        <f t="shared" si="2"/>
        <v>3</v>
      </c>
      <c r="H23" s="22">
        <v>6</v>
      </c>
      <c r="I23" s="23">
        <f t="shared" si="3"/>
        <v>4</v>
      </c>
      <c r="J23" s="43">
        <v>7</v>
      </c>
      <c r="K23" s="17">
        <f t="shared" si="4"/>
        <v>3</v>
      </c>
      <c r="N23" s="16">
        <f t="shared" si="5"/>
        <v>1</v>
      </c>
      <c r="O23" s="27">
        <f t="shared" si="6"/>
        <v>0.8</v>
      </c>
      <c r="P23" s="43">
        <f t="shared" si="7"/>
        <v>0.7</v>
      </c>
      <c r="Q23" s="27">
        <f t="shared" si="8"/>
        <v>0.6</v>
      </c>
      <c r="R23" s="17">
        <f t="shared" si="9"/>
        <v>0.7</v>
      </c>
    </row>
    <row r="24" spans="2:18" x14ac:dyDescent="0.2">
      <c r="B24" s="16">
        <v>10</v>
      </c>
      <c r="C24" s="43">
        <f t="shared" si="0"/>
        <v>0</v>
      </c>
      <c r="D24" s="22">
        <v>9</v>
      </c>
      <c r="E24" s="23">
        <f t="shared" si="1"/>
        <v>1</v>
      </c>
      <c r="F24" s="43">
        <v>10</v>
      </c>
      <c r="G24" s="43">
        <f t="shared" si="2"/>
        <v>0</v>
      </c>
      <c r="H24" s="22">
        <v>7</v>
      </c>
      <c r="I24" s="23">
        <f t="shared" si="3"/>
        <v>3</v>
      </c>
      <c r="J24" s="43">
        <v>6</v>
      </c>
      <c r="K24" s="17">
        <f t="shared" si="4"/>
        <v>4</v>
      </c>
      <c r="N24" s="16">
        <f t="shared" si="5"/>
        <v>1</v>
      </c>
      <c r="O24" s="27">
        <f t="shared" si="6"/>
        <v>0.9</v>
      </c>
      <c r="P24" s="43">
        <f t="shared" si="7"/>
        <v>1</v>
      </c>
      <c r="Q24" s="27">
        <f t="shared" si="8"/>
        <v>0.7</v>
      </c>
      <c r="R24" s="17">
        <f t="shared" si="9"/>
        <v>0.6</v>
      </c>
    </row>
    <row r="25" spans="2:18" x14ac:dyDescent="0.2">
      <c r="B25" s="16">
        <v>10</v>
      </c>
      <c r="C25" s="43">
        <f t="shared" si="0"/>
        <v>0</v>
      </c>
      <c r="D25" s="22">
        <v>10</v>
      </c>
      <c r="E25" s="23">
        <f t="shared" si="1"/>
        <v>0</v>
      </c>
      <c r="F25" s="43">
        <v>9</v>
      </c>
      <c r="G25" s="43">
        <f t="shared" si="2"/>
        <v>1</v>
      </c>
      <c r="H25" s="22">
        <v>6</v>
      </c>
      <c r="I25" s="23">
        <f t="shared" si="3"/>
        <v>4</v>
      </c>
      <c r="J25" s="43">
        <v>5</v>
      </c>
      <c r="K25" s="17">
        <f t="shared" si="4"/>
        <v>5</v>
      </c>
      <c r="N25" s="16">
        <f t="shared" si="5"/>
        <v>1</v>
      </c>
      <c r="O25" s="27">
        <f t="shared" si="6"/>
        <v>1</v>
      </c>
      <c r="P25" s="43">
        <f t="shared" si="7"/>
        <v>0.9</v>
      </c>
      <c r="Q25" s="27">
        <f t="shared" si="8"/>
        <v>0.6</v>
      </c>
      <c r="R25" s="17">
        <f t="shared" si="9"/>
        <v>0.5</v>
      </c>
    </row>
    <row r="26" spans="2:18" ht="17" thickBot="1" x14ac:dyDescent="0.25">
      <c r="B26" s="18">
        <v>10</v>
      </c>
      <c r="C26" s="44">
        <f t="shared" si="0"/>
        <v>0</v>
      </c>
      <c r="D26" s="24">
        <v>9</v>
      </c>
      <c r="E26" s="25">
        <f t="shared" si="1"/>
        <v>1</v>
      </c>
      <c r="F26" s="44">
        <v>8</v>
      </c>
      <c r="G26" s="44">
        <f t="shared" si="2"/>
        <v>2</v>
      </c>
      <c r="H26" s="24">
        <v>6</v>
      </c>
      <c r="I26" s="25">
        <f t="shared" si="3"/>
        <v>4</v>
      </c>
      <c r="J26" s="44">
        <v>7</v>
      </c>
      <c r="K26" s="19">
        <f t="shared" si="4"/>
        <v>3</v>
      </c>
      <c r="N26" s="18">
        <f t="shared" si="5"/>
        <v>1</v>
      </c>
      <c r="O26" s="28">
        <f t="shared" si="6"/>
        <v>0.9</v>
      </c>
      <c r="P26" s="44">
        <f t="shared" si="7"/>
        <v>0.8</v>
      </c>
      <c r="Q26" s="28">
        <f t="shared" si="8"/>
        <v>0.6</v>
      </c>
      <c r="R26" s="19">
        <f t="shared" si="9"/>
        <v>0.7</v>
      </c>
    </row>
    <row r="27" spans="2:18" x14ac:dyDescent="0.2">
      <c r="M27" s="45" t="s">
        <v>4</v>
      </c>
      <c r="N27" s="50">
        <f>AVERAGE(N7:N26)</f>
        <v>0.9850000000000001</v>
      </c>
      <c r="O27" s="51">
        <f t="shared" ref="O27:R27" si="10">AVERAGE(O7:O26)</f>
        <v>0.93999999999999984</v>
      </c>
      <c r="P27" s="52">
        <f t="shared" si="10"/>
        <v>0.84500000000000008</v>
      </c>
      <c r="Q27" s="51">
        <f t="shared" si="10"/>
        <v>0.7350000000000001</v>
      </c>
      <c r="R27" s="53">
        <f t="shared" si="10"/>
        <v>0.53499999999999992</v>
      </c>
    </row>
    <row r="28" spans="2:18" x14ac:dyDescent="0.2">
      <c r="M28" s="45" t="s">
        <v>18</v>
      </c>
      <c r="N28" s="16">
        <f>STDEVA(N7:N26)</f>
        <v>3.6634754853252315E-2</v>
      </c>
      <c r="O28" s="27">
        <f t="shared" ref="O28:R28" si="11">STDEVA(O7:O26)</f>
        <v>7.5393703492505182E-2</v>
      </c>
      <c r="P28" s="43">
        <f t="shared" si="11"/>
        <v>0.11459310165698668</v>
      </c>
      <c r="Q28" s="27">
        <f t="shared" si="11"/>
        <v>0.11367080817685353</v>
      </c>
      <c r="R28" s="17">
        <f t="shared" si="11"/>
        <v>0.1268027892769763</v>
      </c>
    </row>
    <row r="29" spans="2:18" x14ac:dyDescent="0.2">
      <c r="M29" s="45" t="s">
        <v>8</v>
      </c>
      <c r="N29" s="16">
        <f>COUNT(N7:N26)</f>
        <v>20</v>
      </c>
      <c r="O29" s="27">
        <f t="shared" ref="O29:R29" si="12">COUNT(O7:O26)</f>
        <v>20</v>
      </c>
      <c r="P29" s="43">
        <f t="shared" si="12"/>
        <v>20</v>
      </c>
      <c r="Q29" s="27">
        <f t="shared" si="12"/>
        <v>20</v>
      </c>
      <c r="R29" s="17">
        <f t="shared" si="12"/>
        <v>20</v>
      </c>
    </row>
    <row r="30" spans="2:18" ht="17" thickBot="1" x14ac:dyDescent="0.25">
      <c r="M30" s="45" t="s">
        <v>9</v>
      </c>
      <c r="N30" s="46">
        <f>N28/SQRT(N29)</f>
        <v>8.1917802190912496E-3</v>
      </c>
      <c r="O30" s="47">
        <f t="shared" ref="O30:R30" si="13">O28/SQRT(O29)</f>
        <v>1.6858544608470489E-2</v>
      </c>
      <c r="P30" s="48">
        <f t="shared" si="13"/>
        <v>2.5623796505756597E-2</v>
      </c>
      <c r="Q30" s="47">
        <f t="shared" si="13"/>
        <v>2.5417565414078341E-2</v>
      </c>
      <c r="R30" s="49">
        <f t="shared" si="13"/>
        <v>2.8353965655990042E-2</v>
      </c>
    </row>
  </sheetData>
  <mergeCells count="8">
    <mergeCell ref="B4:K4"/>
    <mergeCell ref="N4:R4"/>
    <mergeCell ref="B5:C5"/>
    <mergeCell ref="D5:E5"/>
    <mergeCell ref="F5:G5"/>
    <mergeCell ref="H5:I5"/>
    <mergeCell ref="J5:K5"/>
    <mergeCell ref="N5:R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Equilibrium Test</vt:lpstr>
      <vt:lpstr>Pilot</vt:lpstr>
      <vt:lpstr>Stressful Threshold</vt:lpstr>
      <vt:lpstr>Heat-Hardened Survival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Kaiden Smith</dc:creator>
  <cp:lastModifiedBy>Kaiden Smith</cp:lastModifiedBy>
  <dcterms:created xsi:type="dcterms:W3CDTF">2025-08-11T00:39:45Z</dcterms:created>
  <dcterms:modified xsi:type="dcterms:W3CDTF">2025-10-06T07:34:35Z</dcterms:modified>
</cp:coreProperties>
</file>